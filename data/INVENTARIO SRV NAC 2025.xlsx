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tvcablecomec.sharepoint.com/sites/xtrim/BibliotecaCorporativa/tecnologiadelainformacion/Infraestructura/Documentos compartidos/01 Activos TI/Servidores/2025/"/>
    </mc:Choice>
  </mc:AlternateContent>
  <xr:revisionPtr revIDLastSave="2572" documentId="11_4816A66AB368F21721539850FB6BB508224A81D8" xr6:coauthVersionLast="47" xr6:coauthVersionMax="47" xr10:uidLastSave="{AA675179-5095-4740-BD87-A6C1857C0D4C}"/>
  <bookViews>
    <workbookView xWindow="-120" yWindow="-120" windowWidth="29040" windowHeight="15720" firstSheet="2" activeTab="6" xr2:uid="{00000000-000D-0000-FFFF-FFFF00000000}"/>
  </bookViews>
  <sheets>
    <sheet name="UIO 2025" sheetId="9" r:id="rId1"/>
    <sheet name="UIO" sheetId="2" state="hidden" r:id="rId2"/>
    <sheet name="GYE 2025" sheetId="8" r:id="rId3"/>
    <sheet name="GYE" sheetId="1" state="hidden" r:id="rId4"/>
    <sheet name="Licencia Red Hat" sheetId="4" r:id="rId5"/>
    <sheet name="Hoja1" sheetId="5" r:id="rId6"/>
    <sheet name="Licencia Vmware" sheetId="10" r:id="rId7"/>
    <sheet name="Resumen" sheetId="3" r:id="rId8"/>
  </sheets>
  <definedNames>
    <definedName name="_xlnm._FilterDatabase" localSheetId="3" hidden="1">GYE!$A$5:$AF$53</definedName>
    <definedName name="_xlnm._FilterDatabase" localSheetId="1" hidden="1">UIO!$A$7:$AC$173</definedName>
    <definedName name="_xlnm._FilterDatabase" localSheetId="0" hidden="1">'UIO 2025'!$A$7:$AE$7</definedName>
    <definedName name="_xlnm._FilterDatabase" localSheetId="2" hidden="1">'GYE 2025'!$A$6:$AL$6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0" l="1"/>
  <c r="I25" i="10"/>
  <c r="I28" i="10"/>
  <c r="J28" i="10"/>
  <c r="I47" i="3"/>
  <c r="I46" i="3"/>
  <c r="F47" i="3"/>
  <c r="F46" i="3"/>
  <c r="C47" i="3"/>
  <c r="C46" i="3"/>
  <c r="E18" i="3"/>
  <c r="I7" i="8"/>
  <c r="Y166" i="8"/>
  <c r="X127" i="9"/>
  <c r="R128" i="9"/>
  <c r="I45" i="8"/>
  <c r="L46" i="3" s="1"/>
  <c r="I8" i="9"/>
  <c r="L47" i="3" s="1"/>
  <c r="P130" i="9"/>
  <c r="O130" i="9"/>
  <c r="P128" i="9"/>
  <c r="O128" i="9"/>
  <c r="F128" i="9"/>
  <c r="I117" i="9"/>
  <c r="I101" i="9"/>
  <c r="I98" i="9"/>
  <c r="U66" i="9"/>
  <c r="U65" i="9"/>
  <c r="U61" i="9"/>
  <c r="U54" i="9"/>
  <c r="U47" i="9"/>
  <c r="U46" i="9"/>
  <c r="U37" i="9"/>
  <c r="R168" i="8"/>
  <c r="O168" i="8"/>
  <c r="O173" i="8" s="1"/>
  <c r="P170" i="8"/>
  <c r="F169" i="8"/>
  <c r="O170" i="8"/>
  <c r="AB169" i="8"/>
  <c r="P168" i="8"/>
  <c r="U164" i="8"/>
  <c r="E164" i="8"/>
  <c r="U163" i="8"/>
  <c r="E163" i="8"/>
  <c r="U162" i="8"/>
  <c r="E162" i="8"/>
  <c r="E161" i="8"/>
  <c r="U103" i="8"/>
  <c r="U84" i="8"/>
  <c r="U81" i="8"/>
  <c r="U64" i="8"/>
  <c r="U63" i="8"/>
  <c r="U51" i="8"/>
  <c r="I10" i="1"/>
  <c r="I24" i="1"/>
  <c r="T119" i="1"/>
  <c r="P169" i="1"/>
  <c r="O169" i="1"/>
  <c r="P175" i="2"/>
  <c r="O175" i="2"/>
  <c r="P173" i="2"/>
  <c r="P176" i="2" s="1"/>
  <c r="O173" i="2"/>
  <c r="P167" i="1"/>
  <c r="P170" i="1" s="1"/>
  <c r="O167" i="1"/>
  <c r="I56" i="1"/>
  <c r="I150" i="2"/>
  <c r="I124" i="2"/>
  <c r="F48" i="3" l="1"/>
  <c r="I48" i="3"/>
  <c r="I169" i="8"/>
  <c r="A169" i="8" s="1"/>
  <c r="L48" i="3"/>
  <c r="I128" i="9"/>
  <c r="A128" i="9" s="1"/>
  <c r="O170" i="1"/>
  <c r="O176" i="2"/>
  <c r="O131" i="9"/>
  <c r="P131" i="9"/>
  <c r="U127" i="9"/>
  <c r="U128" i="9" s="1"/>
  <c r="O171" i="8"/>
  <c r="P171" i="8"/>
  <c r="U169" i="8"/>
  <c r="U170" i="8" s="1"/>
  <c r="I110" i="2"/>
  <c r="I107" i="2"/>
  <c r="I8" i="2"/>
  <c r="C53" i="3" l="1"/>
  <c r="T77" i="2"/>
  <c r="T76" i="2"/>
  <c r="T71" i="2"/>
  <c r="T70" i="2"/>
  <c r="T66" i="2"/>
  <c r="T61" i="2"/>
  <c r="T58" i="2"/>
  <c r="T50" i="2"/>
  <c r="T49" i="2"/>
  <c r="T39" i="2"/>
  <c r="P16" i="4" l="1"/>
  <c r="P14" i="4"/>
  <c r="F168" i="1"/>
  <c r="F173" i="2"/>
  <c r="C5" i="3" s="1"/>
  <c r="G33" i="3"/>
  <c r="F33" i="3"/>
  <c r="E33" i="3"/>
  <c r="D33" i="3"/>
  <c r="C33" i="3"/>
  <c r="G28" i="3"/>
  <c r="F28" i="3"/>
  <c r="D28" i="3"/>
  <c r="G23" i="3"/>
  <c r="F23" i="3"/>
  <c r="D23" i="3"/>
  <c r="G18" i="3"/>
  <c r="F18" i="3"/>
  <c r="D18" i="3"/>
  <c r="I155" i="1"/>
  <c r="C52" i="3"/>
  <c r="I162" i="2"/>
  <c r="I113" i="2"/>
  <c r="I173" i="2" s="1"/>
  <c r="I41" i="1"/>
  <c r="T87" i="1"/>
  <c r="T86" i="1"/>
  <c r="E23" i="3"/>
  <c r="T100" i="1"/>
  <c r="T97" i="1"/>
  <c r="T77" i="1"/>
  <c r="E22" i="3" s="1"/>
  <c r="T159" i="1"/>
  <c r="G27" i="3" s="1"/>
  <c r="T160" i="1"/>
  <c r="T161" i="1"/>
  <c r="G32" i="3" s="1"/>
  <c r="T162" i="1"/>
  <c r="G22" i="3" s="1"/>
  <c r="T163" i="1"/>
  <c r="E32" i="3"/>
  <c r="E27" i="3"/>
  <c r="F17" i="3"/>
  <c r="F22" i="3"/>
  <c r="F32" i="3"/>
  <c r="D32" i="3"/>
  <c r="F27" i="3"/>
  <c r="D27" i="3"/>
  <c r="D22" i="3"/>
  <c r="D17" i="3"/>
  <c r="C18" i="3"/>
  <c r="C28" i="3"/>
  <c r="C23" i="3"/>
  <c r="C27" i="3"/>
  <c r="C17" i="3"/>
  <c r="C22" i="3"/>
  <c r="C32" i="3"/>
  <c r="F35" i="4"/>
  <c r="F33" i="4"/>
  <c r="E163" i="1"/>
  <c r="E162" i="1"/>
  <c r="E161" i="1"/>
  <c r="E160" i="1"/>
  <c r="E159" i="1"/>
  <c r="E158" i="1"/>
  <c r="AA168" i="1"/>
  <c r="C43" i="3" s="1"/>
  <c r="E17" i="3" l="1"/>
  <c r="C54" i="3"/>
  <c r="C6" i="3"/>
  <c r="T172" i="2"/>
  <c r="T173" i="2" s="1"/>
  <c r="E28" i="3"/>
  <c r="C11" i="3"/>
  <c r="F11" i="3" s="1"/>
  <c r="G17" i="3"/>
  <c r="I168" i="1"/>
  <c r="T168" i="1"/>
  <c r="T169" i="1" s="1"/>
  <c r="C34" i="3"/>
  <c r="C48" i="3"/>
  <c r="C19" i="3"/>
  <c r="C29" i="3"/>
  <c r="C24" i="3"/>
  <c r="C12" i="3" l="1"/>
  <c r="C38" i="3" s="1"/>
  <c r="A168" i="1"/>
  <c r="A173" i="2"/>
  <c r="C37" i="3"/>
  <c r="C7" i="3"/>
  <c r="C39" i="3" l="1"/>
  <c r="C13" i="3"/>
  <c r="F13" i="3" s="1"/>
  <c r="F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tc={EAA5B6C3-E6A2-4359-A38C-9B9BC4F99605}</author>
    <author>tc={E503A8A7-B47C-4216-8FE3-D488048B4ADF}</author>
  </authors>
  <commentList>
    <comment ref="C15" authorId="0" shapeId="0" xr:uid="{00000000-0006-0000-0400-000001000000}">
      <text>
        <t>[Threaded comment]
Your version of Excel allows you to read this threaded comment; however, any edits to it will get removed if the file is opened in a newer version of Excel. Learn more: https://go.microsoft.com/fwlink/?linkid=870924
Comment:
    no deja registrar este servidor por un error de los paquetes antiguos de python.</t>
      </text>
    </comment>
    <comment ref="C17" authorId="1" shapeId="0" xr:uid="{00000000-0006-0000-0400-000002000000}">
      <text>
        <t>[Threaded comment]
Your version of Excel allows you to read this threaded comment; however, any edits to it will get removed if the file is opened in a newer version of Excel. Learn more: https://go.microsoft.com/fwlink/?linkid=870924
Comment:
    no deja registrar este servidor por un error de los paquetes antiguos de python.</t>
      </text>
    </comment>
  </commentList>
</comments>
</file>

<file path=xl/sharedStrings.xml><?xml version="1.0" encoding="utf-8"?>
<sst xmlns="http://schemas.openxmlformats.org/spreadsheetml/2006/main" count="10710" uniqueCount="1910">
  <si>
    <t>INVENTARIO DE SERVIDORES VIRTUALIZADOS Y FISICOS UIO 2024</t>
  </si>
  <si>
    <t>Fecha de actualización:19/09/2025</t>
  </si>
  <si>
    <t>Actualizado por: Evelyn Puetate</t>
  </si>
  <si>
    <t>CIUDAD</t>
  </si>
  <si>
    <t>ENCLOSURE</t>
  </si>
  <si>
    <t>SRV FISICOS</t>
  </si>
  <si>
    <t>SERIE</t>
  </si>
  <si>
    <t>IP DEL BLADE</t>
  </si>
  <si>
    <t>TOTAL SRV FISICOS</t>
  </si>
  <si>
    <t>CARACTERISTICAS</t>
  </si>
  <si>
    <t>SOPORTE</t>
  </si>
  <si>
    <t># SRV VIRTUALES</t>
  </si>
  <si>
    <t>TIPO DE SERVIDOR</t>
  </si>
  <si>
    <t>SRV VIRTUALES</t>
  </si>
  <si>
    <t>APLICACIÓN</t>
  </si>
  <si>
    <t>IP INTERNA</t>
  </si>
  <si>
    <t>IP PUBLICA</t>
  </si>
  <si>
    <t>PROTECCIÓN DE TREND MCRO XDR - SRV</t>
  </si>
  <si>
    <t>CORTEX</t>
  </si>
  <si>
    <t>Persona responsable del uso del SRV</t>
  </si>
  <si>
    <t>PANDORA</t>
  </si>
  <si>
    <t>SISTEMA OPERATIVO</t>
  </si>
  <si>
    <t>MEMORIA</t>
  </si>
  <si>
    <t>Espacio Disco</t>
  </si>
  <si>
    <t>Procesador</t>
  </si>
  <si>
    <t>SISTEMAS CRITICOS</t>
  </si>
  <si>
    <t>SERVIDOR
PRODUCCIÓN / PREPRODUCCIÓN</t>
  </si>
  <si>
    <t>BASE DE DATOS</t>
  </si>
  <si>
    <t>VERSIÓN DB</t>
  </si>
  <si>
    <t>COSTO SOPORTE</t>
  </si>
  <si>
    <t>EMPRESA QUE DA SOPORTE</t>
  </si>
  <si>
    <t>BACKUP SE REALIZA</t>
  </si>
  <si>
    <t>PLATAFORMA DE BACKUP</t>
  </si>
  <si>
    <t>POLITICA DE BACKUP</t>
  </si>
  <si>
    <t>UIO - SIMPLIVITY</t>
  </si>
  <si>
    <t>tvc-srv-esx1</t>
  </si>
  <si>
    <t>ProLiant DL380 2 x Intel(R) Xeon(R) Gold 6230 CPU @ 2.10GHz x 20 Cores</t>
  </si>
  <si>
    <t>2M211600MH</t>
  </si>
  <si>
    <t>192.168.34.160</t>
  </si>
  <si>
    <t>Gen 10 1.5 TB RAM</t>
  </si>
  <si>
    <t>SI</t>
  </si>
  <si>
    <t>VIRTUAL</t>
  </si>
  <si>
    <t>Fortiweb</t>
  </si>
  <si>
    <t>Firewall Waf</t>
  </si>
  <si>
    <t>192.168.33.50</t>
  </si>
  <si>
    <t>200.63.213.18</t>
  </si>
  <si>
    <t>-</t>
  </si>
  <si>
    <t>Luis Conteron / Guillermo Jurado</t>
  </si>
  <si>
    <t>NO</t>
  </si>
  <si>
    <t>Other 2.6.x Linux (64-bit)</t>
  </si>
  <si>
    <t>ALTO</t>
  </si>
  <si>
    <t>PRODUCCIÓN</t>
  </si>
  <si>
    <t>NA</t>
  </si>
  <si>
    <t>Veritas</t>
  </si>
  <si>
    <t>Veritas-FUllTue-Ret15_UIO_04</t>
  </si>
  <si>
    <t>tvc-srv-esx2</t>
  </si>
  <si>
    <t>ProLiant DL381 2 x Intel(R) Xeon(R) Gold 6230 CPU @ 2.10GHz x 20 Cores</t>
  </si>
  <si>
    <t>2M211600MG</t>
  </si>
  <si>
    <t>192.168.34.162</t>
  </si>
  <si>
    <t>OmniStackVC-192-168-34-161</t>
  </si>
  <si>
    <t>Servidor propio de trabajo SimpliVity</t>
  </si>
  <si>
    <t>192.168.34.161</t>
  </si>
  <si>
    <t> </t>
  </si>
  <si>
    <t xml:space="preserve">Evelyn Puetate </t>
  </si>
  <si>
    <t>Ubuntu Linux (64-bit)</t>
  </si>
  <si>
    <t>BAJO</t>
  </si>
  <si>
    <t>NO es parte sistema operativo de Simplivity</t>
  </si>
  <si>
    <t>tvc-srv-esx3</t>
  </si>
  <si>
    <t>ProLiant DL380 2 x Intel(R) Xeon(R) Gold 6238 CPU @ 2.10GHz x 22 Cores</t>
  </si>
  <si>
    <t>2M232601ZG</t>
  </si>
  <si>
    <t>192.168.34.164</t>
  </si>
  <si>
    <t>Gen 10 1 TB RAM</t>
  </si>
  <si>
    <t>OmniStackVC-192-168-34-163</t>
  </si>
  <si>
    <t>192.168.34.163</t>
  </si>
  <si>
    <t>tvc-srv-esx4</t>
  </si>
  <si>
    <t>2M232601ZH</t>
  </si>
  <si>
    <t>192.168.34.166</t>
  </si>
  <si>
    <t>OmniStackVC-192-168-34-165</t>
  </si>
  <si>
    <t>192.168.34.165</t>
  </si>
  <si>
    <t>OmniStackVC-192-168-34-167</t>
  </si>
  <si>
    <t>192.168.34.167</t>
  </si>
  <si>
    <t>tvc-srv-adprint</t>
  </si>
  <si>
    <t>Administrador de impresoras UIO</t>
  </si>
  <si>
    <t>192.168.21.17</t>
  </si>
  <si>
    <t>Hector Miranda/Graciela Ortiz</t>
  </si>
  <si>
    <t>Microsoft Windows Server 2016 (64-bit)</t>
  </si>
  <si>
    <t>MEDIO</t>
  </si>
  <si>
    <t>Veritas-FUllWed-Ret15_UIO_08</t>
  </si>
  <si>
    <t>tvc-srv-aduio2</t>
  </si>
  <si>
    <t>Conector del AD</t>
  </si>
  <si>
    <t>192.168.21.26</t>
  </si>
  <si>
    <t>200.63.213.27</t>
  </si>
  <si>
    <t>tvc-srv-aduio3</t>
  </si>
  <si>
    <t>Active Directory secundario</t>
  </si>
  <si>
    <t>192.168.21.27</t>
  </si>
  <si>
    <t>tvc-srv-agdi</t>
  </si>
  <si>
    <t>Pagina Web Agencia Digital, tmbn tiene xtrim.tv, xtrim.com.ec, Pagina de Ingreso de contrato para vendedores, proveedores y distribuidores - mixtrim.com.ec/IngresoContratos</t>
  </si>
  <si>
    <t>192.168.21.243</t>
  </si>
  <si>
    <t>200.63.213.43</t>
  </si>
  <si>
    <t>Hector Miranda /Administrador de aplicaciones</t>
  </si>
  <si>
    <t>Red Hat Enterprise Linux 7 (64-bit)</t>
  </si>
  <si>
    <t xml:space="preserve">MySQL </t>
  </si>
  <si>
    <t>5.6.28 Community Edition 64 bits</t>
  </si>
  <si>
    <t>Veritas-FUllMon-Ret15_UIO_02</t>
  </si>
  <si>
    <t>tvc-srv-amas</t>
  </si>
  <si>
    <t xml:space="preserve">Servidor de amas - Relacionado con las llamadas telefonicas. </t>
  </si>
  <si>
    <t>192.168.21.31</t>
  </si>
  <si>
    <t>Windows 10</t>
  </si>
  <si>
    <t>tvc-srv-apjaira</t>
  </si>
  <si>
    <t>Mesa de Servicios - Flujos internos. (con el tiempo se dará de baja)</t>
  </si>
  <si>
    <t>192.168.21.35</t>
  </si>
  <si>
    <t>Veritas-FUllThu-Ret15_UIO_09</t>
  </si>
  <si>
    <t>tvc-srv-appadm</t>
  </si>
  <si>
    <t>Aplicaciones del sistema de nomina - Datalife</t>
  </si>
  <si>
    <t>192.168.21.101</t>
  </si>
  <si>
    <t>Jaqueline Andrade/Carlos Ayala/Christian Castillo</t>
  </si>
  <si>
    <t>Microsoft Windows Server 2022 (64-bit)</t>
  </si>
  <si>
    <t>Veritas-FUllWed-Ret15_UIO_06</t>
  </si>
  <si>
    <t xml:space="preserve">
tvc-srv-as2back - ELIMINADO</t>
  </si>
  <si>
    <t>SERVIDOR DE RESPALDO DEL AS2, DE LA INFOPRMACIÓN QUE ESTA EN EL ONEDRIVE. (3ER RESPALDO)</t>
  </si>
  <si>
    <t>192.168.21.15</t>
  </si>
  <si>
    <t>Jose Fernandez/Ivone Intriago</t>
  </si>
  <si>
    <t>Veritas-FUllMon-Ret15_UIO_00
Veritas-FullFri-Ret15_UIO_14</t>
  </si>
  <si>
    <t>tvc-srv-autosrv</t>
  </si>
  <si>
    <t>Servidor autoservicios</t>
  </si>
  <si>
    <t>192.168.21.16</t>
  </si>
  <si>
    <t>Ubuntu 22,04 LTS Linux (64-bit)</t>
  </si>
  <si>
    <t>Veritas-FUllTue-Ret15_UIO_05</t>
  </si>
  <si>
    <t>tvc-srv-autosrvclon</t>
  </si>
  <si>
    <t>192.168.21.20</t>
  </si>
  <si>
    <t>tvc-srv-bdadm</t>
  </si>
  <si>
    <t>Base de datos de sistema de nomina</t>
  </si>
  <si>
    <t>192.168.21.102</t>
  </si>
  <si>
    <t>Jaqueline Andrade/Carlos Ayala/James Pesantes</t>
  </si>
  <si>
    <t>veritas</t>
  </si>
  <si>
    <t xml:space="preserve">
xtr-srv-ansible-platform-gateway</t>
  </si>
  <si>
    <t>Ansible Plataform Gateway</t>
  </si>
  <si>
    <t>192.168.21.6</t>
  </si>
  <si>
    <t>Red Hat Enterprise Linux 9 (64-bit)</t>
  </si>
  <si>
    <t>Veritas-FUllTue-Ret15_UIO_06</t>
  </si>
  <si>
    <t>xtr-srv-ansible-automation-hub</t>
  </si>
  <si>
    <t>Ansible Private Automation Hub</t>
  </si>
  <si>
    <t>192.168.21.7</t>
  </si>
  <si>
    <t>xtr-srv-ansible-controller-control</t>
  </si>
  <si>
    <t>Ansible Automation Controller</t>
  </si>
  <si>
    <t>192.168.21.12</t>
  </si>
  <si>
    <t>xtr-srv-ansible-controller-execution</t>
  </si>
  <si>
    <t>Ansible Controller Excecution</t>
  </si>
  <si>
    <t>192.168.21.28</t>
  </si>
  <si>
    <t>tvc-srv-ansible-pivot</t>
  </si>
  <si>
    <t>Ansible Pivot</t>
  </si>
  <si>
    <t>192.168.21.4</t>
  </si>
  <si>
    <t>tvc-srv-backupAS2</t>
  </si>
  <si>
    <t>Backup AS2</t>
  </si>
  <si>
    <t>192.168.21.34</t>
  </si>
  <si>
    <t>tvc-srv-cluster3</t>
  </si>
  <si>
    <t>Cluster base de datos</t>
  </si>
  <si>
    <t>192.168.21.25</t>
  </si>
  <si>
    <t>Carlos Ayala / James Pesantes</t>
  </si>
  <si>
    <t>tvc-srv-colecsoc</t>
  </si>
  <si>
    <t>Logs del SOC</t>
  </si>
  <si>
    <t>192.168.21.236</t>
  </si>
  <si>
    <t>Jose Fernandez/Alejandro Alvarez</t>
  </si>
  <si>
    <t>Red Hat Enterprise Linux 9.2 (64-bit)</t>
  </si>
  <si>
    <t>Veritas-FUllMon-Ret15_UIO_01</t>
  </si>
  <si>
    <t>tvc-srv-condell</t>
  </si>
  <si>
    <t>Servidor Thincliente Dell</t>
  </si>
  <si>
    <t>192.168.21.5</t>
  </si>
  <si>
    <t>Microsoft Windows Server 2019 (64-bit)</t>
  </si>
  <si>
    <t>Veritas-FullWed-Ret15_UIO_07</t>
  </si>
  <si>
    <t>tvc-srv-dbas2bi</t>
  </si>
  <si>
    <t>Enviar informacion de base de datos AS2</t>
  </si>
  <si>
    <t>192.168.21.13</t>
  </si>
  <si>
    <t>200.63.213.82</t>
  </si>
  <si>
    <t>Carlos Ayala/Christian Castillo</t>
  </si>
  <si>
    <t>veaam</t>
  </si>
  <si>
    <t>Veeam-FullWed-Ret15_UIO_23</t>
  </si>
  <si>
    <t>tvc-srv-dbjaira</t>
  </si>
  <si>
    <t>Servidor base de datos Jira</t>
  </si>
  <si>
    <t>192.168.21.36</t>
  </si>
  <si>
    <t>Microsoft Windows Server 2012 (64-bit)</t>
  </si>
  <si>
    <t>SQL SERVER</t>
  </si>
  <si>
    <t>SQL Server 2012</t>
  </si>
  <si>
    <t>tvc-srv-desa-www</t>
  </si>
  <si>
    <t>Servidor www FSM</t>
  </si>
  <si>
    <t>192.168.21.197</t>
  </si>
  <si>
    <t>Hector Miranda/Administrador de aplicaciones</t>
  </si>
  <si>
    <t>Red Hat Enterprise Linux 6 (64-bit)</t>
  </si>
  <si>
    <t>DESARROLLO</t>
  </si>
  <si>
    <t>tvc-srv-dhcpuio</t>
  </si>
  <si>
    <t>Servidor DHCP y consola de Unifi (Wifi)</t>
  </si>
  <si>
    <t>192.168.21.2</t>
  </si>
  <si>
    <t xml:space="preserve"> Luis Conteron/Guillermo Jurado</t>
  </si>
  <si>
    <t>tvc-srv-exuio</t>
  </si>
  <si>
    <t>Servidor de Correo</t>
  </si>
  <si>
    <t>192.168.21.50
192.168.21.196</t>
  </si>
  <si>
    <t> 200.63.213.13</t>
  </si>
  <si>
    <t>tvc-srv-finform</t>
  </si>
  <si>
    <t>Servidor de Formas Hiperk - Reemplazado por el AS2</t>
  </si>
  <si>
    <t>192.168.21.46</t>
  </si>
  <si>
    <t>PREPRODUCCIÓN</t>
  </si>
  <si>
    <t>tvc-srv-fsm</t>
  </si>
  <si>
    <t>Base Datos FSM</t>
  </si>
  <si>
    <t>192.168.21.124</t>
  </si>
  <si>
    <t>Carlos Ayala/James Pesantes</t>
  </si>
  <si>
    <t>Red Hat Enterprise Linux 6.4 (64-bit)</t>
  </si>
  <si>
    <t>ORACLE</t>
  </si>
  <si>
    <t>Oracle 11g R2</t>
  </si>
  <si>
    <t>Se respalda Base de Datos</t>
  </si>
  <si>
    <t>tvc-srv-ftp</t>
  </si>
  <si>
    <t xml:space="preserve">FTP Recargas efectos de consiliaciones </t>
  </si>
  <si>
    <t>192.168.21.157</t>
  </si>
  <si>
    <t>200.63.213.64</t>
  </si>
  <si>
    <t>Veritas-FUllTue-Ret15_UIO_03</t>
  </si>
  <si>
    <t>tvc-srv-ftpac</t>
  </si>
  <si>
    <t>Ftp actualizaciones BackOffice</t>
  </si>
  <si>
    <t>192.168.21.203</t>
  </si>
  <si>
    <t>200.63.213.68</t>
  </si>
  <si>
    <t>pendiente de confirmacion David Villamar</t>
  </si>
  <si>
    <t>veeam</t>
  </si>
  <si>
    <t>Veritas-FullFri-Ret15_UIO_12</t>
  </si>
  <si>
    <t>tvc-srv-gruptvc</t>
  </si>
  <si>
    <t>Pruebas pagina Grupo TVCable</t>
  </si>
  <si>
    <t>192.168.21.123/192.168.122.1</t>
  </si>
  <si>
    <t>Carlos Ayala / David Villamar</t>
  </si>
  <si>
    <t>tvc-srv-guardium</t>
  </si>
  <si>
    <t>Servidor firewall base de datos</t>
  </si>
  <si>
    <t>192.168.21.210</t>
  </si>
  <si>
    <t>200.63.213.56</t>
  </si>
  <si>
    <t>MYSQL</t>
  </si>
  <si>
    <t>MySQL modificado</t>
  </si>
  <si>
    <t>tvc-srv-jenkins</t>
  </si>
  <si>
    <t>Servidor jenkins para bitbucket</t>
  </si>
  <si>
    <t>192.168.21.14</t>
  </si>
  <si>
    <t>200.63.213.65</t>
  </si>
  <si>
    <t>Mauricio Rodriguez</t>
  </si>
  <si>
    <t>tvc-srv-keycloak</t>
  </si>
  <si>
    <t>Keycloak</t>
  </si>
  <si>
    <t>192.168.21.105</t>
  </si>
  <si>
    <t>Graciela Ortiz</t>
  </si>
  <si>
    <t>tvc-srv-malwareuio</t>
  </si>
  <si>
    <t xml:space="preserve">Srv Malware que analizará los backup de Veritas. </t>
  </si>
  <si>
    <t>192.168.21.73</t>
  </si>
  <si>
    <t>tvc-srv-mediaveritas</t>
  </si>
  <si>
    <t>Intermiediario para convertir un equipo fisico a virtual con la plataforma de veritas</t>
  </si>
  <si>
    <t>192.168.21.38</t>
  </si>
  <si>
    <t>Veritas-FullFri-Ret15_UIO_13</t>
  </si>
  <si>
    <t>tvc-srv-migracion</t>
  </si>
  <si>
    <t>Migracion y encriptacion de tablas y base de datos MYSQL</t>
  </si>
  <si>
    <t>192.168.21.18</t>
  </si>
  <si>
    <t>tvc-srv-mobil</t>
  </si>
  <si>
    <t>Servidor MOBIL FSM</t>
  </si>
  <si>
    <t>192.168.21.185</t>
  </si>
  <si>
    <t>200.63.213.61</t>
  </si>
  <si>
    <t>tvc-srv-myapp</t>
  </si>
  <si>
    <t>Aplicaciones Tecnico - Base de datos del isp de Tecnología</t>
  </si>
  <si>
    <t>192.168.21.24</t>
  </si>
  <si>
    <t>Tecnologia</t>
  </si>
  <si>
    <t>tvc-srv-napi</t>
  </si>
  <si>
    <t>Servidor de api del FSM</t>
  </si>
  <si>
    <t>192.168.21.186</t>
  </si>
  <si>
    <t>tvc-srv-nems</t>
  </si>
  <si>
    <t>Servidor webservice FSM/EMS</t>
  </si>
  <si>
    <t>192.168.21.179</t>
  </si>
  <si>
    <t>Veritas-FUllWed-Ret15_UIO_07</t>
  </si>
  <si>
    <t>tvc-srv-nfieb</t>
  </si>
  <si>
    <t xml:space="preserve"> sistema Ebissnez intermix servicios de facturacion </t>
  </si>
  <si>
    <t>192.168.21.209</t>
  </si>
  <si>
    <t>200.63.213.67</t>
  </si>
  <si>
    <t>tvc-srv-njbdps</t>
  </si>
  <si>
    <r>
      <rPr>
        <b/>
        <sz val="11"/>
        <color rgb="FF000000"/>
        <rFont val="Calibri"/>
      </rPr>
      <t xml:space="preserve">Pruebas página de Xtrim
</t>
    </r>
    <r>
      <rPr>
        <sz val="11"/>
        <color rgb="FF000000"/>
        <rFont val="Calibri"/>
      </rPr>
      <t>En el servidor 21.189 se encuentran las siguientes aplicaciones
1.	JBoss y CM de Desarrollo
2.	Dps de desarrollo
3.	JBoss y CM de AQTEST
4.	Dps de desarrollo (QAtest)
Adicionalmente funciona como repositorio ftp para transacciones de pruebas, como por ejemplo
1.	SoftSwitch
2.	Débitos automáticos
3.	Cdr
4. Facturación electronica de prueba.</t>
    </r>
  </si>
  <si>
    <t>192.168.21.189</t>
  </si>
  <si>
    <t>CentOS Linux release 7.9.2009 (Core)</t>
  </si>
  <si>
    <t>tvc-srv-nmensajeria</t>
  </si>
  <si>
    <t>Enviar mensajes para Conax.SMS. Pagina de Vendedores. https://vendedores.xtrim.tv/LoginEfx.aspx
Tambien maneja los bats de las bases de datos. Lo usa James y Carlos Ayala.</t>
  </si>
  <si>
    <t>a</t>
  </si>
  <si>
    <t>tvc-srv-nsofbd</t>
  </si>
  <si>
    <t>Nuevo servidor base de datos soft</t>
  </si>
  <si>
    <t>192.168.21.211</t>
  </si>
  <si>
    <t>SQL Server 2019</t>
  </si>
  <si>
    <t>tvc-srv-nuevapiis</t>
  </si>
  <si>
    <t>Servidores de aplicaciones, donde se encuentra el servicio de Biometria que hace la conexión con https://adocolumbia.ado-tech.com/TVCable/api/Integration/TVCable/Validation/StartCompareFaces, para ello debe tener permiso el acceso al puerto 443 y asi mismo tiene otras conexiones hacia otros servicios que se identificaran en el transcurso del día.</t>
  </si>
  <si>
    <t>192.168.21.155</t>
  </si>
  <si>
    <t>tvc-srv-oracleasr</t>
  </si>
  <si>
    <t>Monitoreo de ODA</t>
  </si>
  <si>
    <t>192.168.21.70</t>
  </si>
  <si>
    <t>Evelyn Puetate/Yurema Tobar</t>
  </si>
  <si>
    <t>Other (64-bit)</t>
  </si>
  <si>
    <t>tvc-srv-pbxprov</t>
  </si>
  <si>
    <t>Central Telefónica Provincias</t>
  </si>
  <si>
    <t>192.168.21.21/192.168.21.69 interface</t>
  </si>
  <si>
    <t>Luis Conteron/Guillermo Jurado</t>
  </si>
  <si>
    <t>Centos 7</t>
  </si>
  <si>
    <t>tvc-srv-pbxuio</t>
  </si>
  <si>
    <t>Central Telefónica UIO</t>
  </si>
  <si>
    <t>192.168.21.75</t>
  </si>
  <si>
    <t>Luis Conteron /Guillermo Jurado</t>
  </si>
  <si>
    <t>CentOS 7 (64-bit)</t>
  </si>
  <si>
    <t>tvc-srv-preapi</t>
  </si>
  <si>
    <t>Servidor API FSM</t>
  </si>
  <si>
    <t>192.168.21.188</t>
  </si>
  <si>
    <t>tvc-srv-predb</t>
  </si>
  <si>
    <t>Servidor pruebas base de datos FSM</t>
  </si>
  <si>
    <t>192.168.21.182</t>
  </si>
  <si>
    <t>200.63.213.34</t>
  </si>
  <si>
    <t>Carlos Ayala/james Pesantes</t>
  </si>
  <si>
    <t>tvc-srv-proxyvrtuio</t>
  </si>
  <si>
    <t>Agente de Veritas, levanta la consola del NETbackup que permite generar y restaturar los respaldos</t>
  </si>
  <si>
    <t>192.168.19.13</t>
  </si>
  <si>
    <t>tvc-srv-qaapi</t>
  </si>
  <si>
    <t>Servidor pruebas API FSM</t>
  </si>
  <si>
    <t>192.168.21.187</t>
  </si>
  <si>
    <t>tvc-srv-qtev-vir</t>
  </si>
  <si>
    <t xml:space="preserve">Qlik Sense - Analitica de datos que le permite hacer frente a los problemas analiticos más complejos. Servidor critico para la toma de decisiones de la compañia, porque es el resumen de las ventas que tiene la empresa. </t>
  </si>
  <si>
    <t>192.168.21.100</t>
  </si>
  <si>
    <t>200.63.213.31</t>
  </si>
  <si>
    <t>Veronica Molina</t>
  </si>
  <si>
    <t>Windows Server 2016</t>
  </si>
  <si>
    <t>Veritas-FUllThu-Ret15_UIO_10</t>
  </si>
  <si>
    <t>tvc-srv-repfin</t>
  </si>
  <si>
    <t>Repositorio de documentos para F.Eléctronica</t>
  </si>
  <si>
    <t>192.168.21.176</t>
  </si>
  <si>
    <t>tvc-srv-robot</t>
  </si>
  <si>
    <t>Backup Robot</t>
  </si>
  <si>
    <t>192.168.21.163</t>
  </si>
  <si>
    <t>tvc-srv-rpdr</t>
  </si>
  <si>
    <t>Servidor de RapidDR, para el manejo de tareas de failover del simplivity</t>
  </si>
  <si>
    <t>192.168.21.110</t>
  </si>
  <si>
    <t>Evelyn Puetate</t>
  </si>
  <si>
    <t>si</t>
  </si>
  <si>
    <t>tvc-srv-satelitepan</t>
  </si>
  <si>
    <t>Servidor  de Pandora FMS Enterprise</t>
  </si>
  <si>
    <t>192.168.21.240</t>
  </si>
  <si>
    <t>Red Hat Enterprise Linux 8 (64-bit)</t>
  </si>
  <si>
    <t>tvc-srv-sofpro</t>
  </si>
  <si>
    <t>Servidor softswitch bancos</t>
  </si>
  <si>
    <t>192.168.21.158</t>
  </si>
  <si>
    <t>tvc-srv-softdb</t>
  </si>
  <si>
    <t>Base datos softswich de pagos - bancos</t>
  </si>
  <si>
    <t>192.168.21.159</t>
  </si>
  <si>
    <t>200.63.213.30</t>
  </si>
  <si>
    <t>SQL Server 2012 Standard Edition</t>
  </si>
  <si>
    <t>tvc-srv-softbd2</t>
  </si>
  <si>
    <t xml:space="preserve">Base datos softswich de pagos - bancos-pruebas de bancos </t>
  </si>
  <si>
    <t>192.168.21.212</t>
  </si>
  <si>
    <t>SI/REV</t>
  </si>
  <si>
    <t>PRUEBAS</t>
  </si>
  <si>
    <t>xtr-srv-systemcm</t>
  </si>
  <si>
    <t>Nuevo System Center Mnager</t>
  </si>
  <si>
    <t>192.168.21.33</t>
  </si>
  <si>
    <t>Dalton Benitez/Julio Enriquez</t>
  </si>
  <si>
    <t>Microsoft Windows Server 2025(64-bit)</t>
  </si>
  <si>
    <t>Veritas-FullSun-Ret60_UIO_18</t>
  </si>
  <si>
    <t>tvc-srv-ssprodu</t>
  </si>
  <si>
    <t>Base datos de sofswitch y debitos automaticos producción</t>
  </si>
  <si>
    <t>192.168.21.103</t>
  </si>
  <si>
    <t>Carlos Ayala / Hector Miranda</t>
  </si>
  <si>
    <t>SQL Server 2019 Standard Edition</t>
  </si>
  <si>
    <t>tvc-srv-sonarqube</t>
  </si>
  <si>
    <t xml:space="preserve">Aplicativo SONARQUBE para analisis de codigo </t>
  </si>
  <si>
    <t>192.168.21.39</t>
  </si>
  <si>
    <t>Veritas-FullThu-Ret15_UIO_09</t>
  </si>
  <si>
    <t>tvc-srv-sopcomarch</t>
  </si>
  <si>
    <t>Soporte de comarch</t>
  </si>
  <si>
    <t>192.168.21.30</t>
  </si>
  <si>
    <t>Hector Miranda / Graciela Ortiz</t>
  </si>
  <si>
    <t>tvc-srv-techin</t>
  </si>
  <si>
    <t>Sistema de control de ingreso</t>
  </si>
  <si>
    <t>192.168.21.3</t>
  </si>
  <si>
    <t>Carlos Ayala / Administrador de aplicaciones / Angel Zambrano</t>
  </si>
  <si>
    <t>tvc-srv-wso2nod3</t>
  </si>
  <si>
    <t xml:space="preserve">Servidor Dockers Net Core Apis. Tiene los contenedores que estan desarrollados en .NET , son 3 micros para el uso de los servicios de SeedBIlling. </t>
  </si>
  <si>
    <t>192.168.21.178</t>
  </si>
  <si>
    <t>200.63.213.33</t>
  </si>
  <si>
    <t>tvc-srv-testeb</t>
  </si>
  <si>
    <t>Desarrollo de Ebizness</t>
  </si>
  <si>
    <t>192.168.21.223</t>
  </si>
  <si>
    <t>tvc-srv-tiflow</t>
  </si>
  <si>
    <t>Servidor flujos TI</t>
  </si>
  <si>
    <t>192.168.21.221</t>
  </si>
  <si>
    <t>tvcsrvvcu</t>
  </si>
  <si>
    <t>Vcenter Quito</t>
  </si>
  <si>
    <t>192.168.21.9</t>
  </si>
  <si>
    <t>Other 3.x or later Linux (64-bit)</t>
  </si>
  <si>
    <t>XTR-SRV-HUAWEI</t>
  </si>
  <si>
    <t>Función: Para ambiente de pruebas donde se instalara la aplicación de integración hacia el NME de Huawei , esta será una nueva OLT que estará implementándose en un piloto en la ciudad del Carmen para 10000 HP de FO.</t>
  </si>
  <si>
    <t>192.168.21.40</t>
  </si>
  <si>
    <t>Harry Salvatierra / Cesar Calderon</t>
  </si>
  <si>
    <t>Microsoft Windows Server 2025</t>
  </si>
  <si>
    <t>N/A</t>
  </si>
  <si>
    <t>XTR-SRV-PASMUIO</t>
  </si>
  <si>
    <t>implementacion de un nuevo PAM</t>
  </si>
  <si>
    <t>192.168.212.44</t>
  </si>
  <si>
    <t>tvc-srv-medi2</t>
  </si>
  <si>
    <t>Mediador windows prueba. Servidor donde esta el front operativo de servicios, para reiniciar los dps y los daemon.</t>
  </si>
  <si>
    <t>192.168.21.205</t>
  </si>
  <si>
    <t>Hector Miranda</t>
  </si>
  <si>
    <t>tvc-srv-wmedia2</t>
  </si>
  <si>
    <t>Servidor mediación 02. Servidor donde esta el front operativo de servicios, para reiniciar los dps y los daemon.</t>
  </si>
  <si>
    <t>192.168.21.104</t>
  </si>
  <si>
    <t>200.63.213.14</t>
  </si>
  <si>
    <t xml:space="preserve"> tvc-srv-www</t>
  </si>
  <si>
    <t>192.168.21.184</t>
  </si>
  <si>
    <t>200.63.213.62</t>
  </si>
  <si>
    <t>tvc-srv-XtrimTest</t>
  </si>
  <si>
    <t>pagina de Xtrim - PRODUCCION</t>
  </si>
  <si>
    <t>192.168.21.190</t>
  </si>
  <si>
    <t>200.63.213.90</t>
  </si>
  <si>
    <t>xtr-srv-grafana</t>
  </si>
  <si>
    <t xml:space="preserve">Monitoreo de servicios </t>
  </si>
  <si>
    <t>192.168.21.128</t>
  </si>
  <si>
    <t>tvc-srv-xtvcable</t>
  </si>
  <si>
    <t>192.168.21.129</t>
  </si>
  <si>
    <t>200.63.213.26</t>
  </si>
  <si>
    <t>MySQL 5.1.57-community edition</t>
  </si>
  <si>
    <t>tvc-srv-aduio1</t>
  </si>
  <si>
    <t>Active Directory Principal</t>
  </si>
  <si>
    <t>192.168.21.42</t>
  </si>
  <si>
    <t>tvc-srvmysql</t>
  </si>
  <si>
    <t>Servidor base de datos mediacion</t>
  </si>
  <si>
    <t>192.168.21.206</t>
  </si>
  <si>
    <t>Red Hat Enterprise Linux 5 (64-bit)</t>
  </si>
  <si>
    <t>tvc-srvmysql-test</t>
  </si>
  <si>
    <t xml:space="preserve">Base de datos mediador de test, de aprovisionamiento para enviar comando en los equipos de los clientes. </t>
  </si>
  <si>
    <t>192.168.21.193</t>
  </si>
  <si>
    <t>tvc-srvpamuio</t>
  </si>
  <si>
    <t>Servidor de Boveda de Claves (PAM)</t>
  </si>
  <si>
    <t>192.168.21.107</t>
  </si>
  <si>
    <t>200.63.213.35</t>
  </si>
  <si>
    <t>XTR-SRV-ODA-CM2</t>
  </si>
  <si>
    <t>SERVIDOR DE REEMPLAZO TEMPORAL DEL 192.168.21.175</t>
  </si>
  <si>
    <t>192.168.21.232</t>
  </si>
  <si>
    <t>oracle linux 7.9</t>
  </si>
  <si>
    <t>XTR-SRV-ODA-DPS</t>
  </si>
  <si>
    <t>SERVIDOR DE REEMPLAZO TEMPORAL DEL 192.168.21.147</t>
  </si>
  <si>
    <t>192.168.21.231</t>
  </si>
  <si>
    <t>XTR-SRV-ODA-CM</t>
  </si>
  <si>
    <t>192.168.21.233</t>
  </si>
  <si>
    <t>xtr-srv-elern</t>
  </si>
  <si>
    <t>Servidor capacitación tecnología</t>
  </si>
  <si>
    <t>192.168.21.74</t>
  </si>
  <si>
    <t>Julio Enriquez / Miriam Tupiza</t>
  </si>
  <si>
    <t>Windows Server 2022</t>
  </si>
  <si>
    <t>Veritas-FullSun-Ret60_UIO_19</t>
  </si>
  <si>
    <t>UIO - ODA X8</t>
  </si>
  <si>
    <t>ODA X8-2L</t>
  </si>
  <si>
    <t>ODA X8-2L NODODB1-ILOM  192.168.33.160 NODODB2-ILOM 192.168.33.162</t>
  </si>
  <si>
    <t>2114XC000M</t>
  </si>
  <si>
    <t>Blade 192.168.21.120    Baremetal 192.168.21.115</t>
  </si>
  <si>
    <t>2X Intel(R) Xeon(R) Gold 5218 CPU @ 2.30GHz,
384 GB RAM, se puede aumentar 12 mas de 32GB.
2 discos de 7,68TB.</t>
  </si>
  <si>
    <t>tvc-oda1</t>
  </si>
  <si>
    <t>Titan</t>
  </si>
  <si>
    <t>192.168.21.117</t>
  </si>
  <si>
    <t>Oracle 19.9.0.0.0</t>
  </si>
  <si>
    <t>No, es la base de datos</t>
  </si>
  <si>
    <t>Veritas-FullSat-Ret60_UIO_15</t>
  </si>
  <si>
    <t>tvc-oda-dps</t>
  </si>
  <si>
    <t>DPS</t>
  </si>
  <si>
    <t>192168.21.147</t>
  </si>
  <si>
    <t>Red Hat Enterprise Linux Server release 7.9</t>
  </si>
  <si>
    <t>VERITAS</t>
  </si>
  <si>
    <t>tvc-oda-insight-bm</t>
  </si>
  <si>
    <t>Mediacción</t>
  </si>
  <si>
    <t>192.168.31.200</t>
  </si>
  <si>
    <t>Blade 192.168.21.122 Baremetal 192.168.21.116</t>
  </si>
  <si>
    <t>tvc-oda2</t>
  </si>
  <si>
    <t>Servidor base de datos sistema Comarch</t>
  </si>
  <si>
    <t>192.168.21.118</t>
  </si>
  <si>
    <t>tvc-oda-cm</t>
  </si>
  <si>
    <t>JBOSS</t>
  </si>
  <si>
    <t>192.168.21.175</t>
  </si>
  <si>
    <t>tvc-oda-insight-sa</t>
  </si>
  <si>
    <t>192.168.31.190</t>
  </si>
  <si>
    <t>UIO - C7000</t>
  </si>
  <si>
    <t>C7000 - TEC</t>
  </si>
  <si>
    <t>BL460</t>
  </si>
  <si>
    <t>USE309X0JP</t>
  </si>
  <si>
    <t>192.168.34.11</t>
  </si>
  <si>
    <t>2X GEN8. Procesador 	Intel(R) Xeon(R) CPU E5-2670 0 @ 2.60GHz,  2 slot de memoria c/u de 256GB en total 512 GB RAM.</t>
  </si>
  <si>
    <t>FISICO</t>
  </si>
  <si>
    <t>USE309X0JS</t>
  </si>
  <si>
    <t>192.168.34.12</t>
  </si>
  <si>
    <t>USE309X0JR</t>
  </si>
  <si>
    <t>192.168.34.13</t>
  </si>
  <si>
    <t>USE351NBP9</t>
  </si>
  <si>
    <t>2X GEN8, Intel(R) Xeon(R) CPU E5-2690 0 @ 2.90GHz, 2 slot de memoria c/u de 128 GB en total 256 GB RAM</t>
  </si>
  <si>
    <t>USE351NBPA</t>
  </si>
  <si>
    <t>C7000 - TI</t>
  </si>
  <si>
    <t>USE409SHJK</t>
  </si>
  <si>
    <t>1X GEN8, Intel(R) Xeon(R) CPU E5-2667 v2 @ 3.30GHz,  1 slot de memoria de 196 GB RAM.</t>
  </si>
  <si>
    <t>USE409SHJJ</t>
  </si>
  <si>
    <t>MXQ4420C2P</t>
  </si>
  <si>
    <t>MXQ4420C2N</t>
  </si>
  <si>
    <t>1X GEN8, Intel(R) Xeon(R) CPU E5-2667 v2 @ 3.30GHz, 1 slot de memoria de  192 GB RAM</t>
  </si>
  <si>
    <t>2M261703DF</t>
  </si>
  <si>
    <t>1X GEN9, Intel(R) Xeon(R) CPU E5-2640 v3 @ 2.60GHz, 1 slot de memoria de  64 GB RAM</t>
  </si>
  <si>
    <t>tvc-srv-dbfsm</t>
  </si>
  <si>
    <t>Servidor de base de datos del FSM, fisico, que esta en estand by</t>
  </si>
  <si>
    <t>192.168.21.249</t>
  </si>
  <si>
    <t xml:space="preserve">Red Hat Enterprise Linux Server release 6.10 </t>
  </si>
  <si>
    <t>USE409SHJL</t>
  </si>
  <si>
    <t>2X GEN8, Intel(R) Xeon(R) CPU E5-2667 v2 @ 3.30GHz,  1 slot de memoria de 192 GB RAM</t>
  </si>
  <si>
    <t>UIO - STANDALONE</t>
  </si>
  <si>
    <t>DL380</t>
  </si>
  <si>
    <t>2X G7 132 GB RAM</t>
  </si>
  <si>
    <t>tvc-srv-dbfin</t>
  </si>
  <si>
    <t>Base de datops Iperk</t>
  </si>
  <si>
    <t>192.168.21.144</t>
  </si>
  <si>
    <t>DL360P</t>
  </si>
  <si>
    <t>X2 G8 32 GB RAM</t>
  </si>
  <si>
    <t>tvc-srvmatrix</t>
  </si>
  <si>
    <t>Administrador Matrix</t>
  </si>
  <si>
    <t>192.168.21.220</t>
  </si>
  <si>
    <t>NO es necesario respaldo</t>
  </si>
  <si>
    <t>PLATAFORMA VERITAS</t>
  </si>
  <si>
    <t>TVC-SRV-CONSUIOFLEX01</t>
  </si>
  <si>
    <t>VTAS0030521</t>
  </si>
  <si>
    <t xml:space="preserve">"mgm: 192.168.18.21
ilo: 192.168."
</t>
  </si>
  <si>
    <t>TVC-SRV-CONSUIOFLEX01
Flex software version: 5.0.20
Firmware version: 2.0.0-32
Serial number: VTAS0030521
Primary internal storage:36.38 TiB
Running instances:3</t>
  </si>
  <si>
    <t>tvc-srv-primaryuio</t>
  </si>
  <si>
    <t>ES LA INSTANCIA PRINCIPAL PARA LA CONEXIÓN AL FLEX DE VERITAS, DONDE ESTARAN LOS CATALOGOS - POLITICAS.
NETBACKUP PRIMARY SERVER version 10.4.0.1</t>
  </si>
  <si>
    <t>192.168.18.12 ; 192.168.19.14</t>
  </si>
  <si>
    <t>Red Hat Enterprise Linux 8,9</t>
  </si>
  <si>
    <t>tvc-srv-mediauio</t>
  </si>
  <si>
    <t>ES EL ENCARGADO DE SER EL INTERMEDIO DE LAS POLITICAS CON EL STORAGE INMUTABLE.
NETBACKUP MEDIA SERVER version 10.4.0.1</t>
  </si>
  <si>
    <t>192.168.19.12</t>
  </si>
  <si>
    <t>tvc-srv-wormuio</t>
  </si>
  <si>
    <t>ES LA INSTANCIA QUE SE CREA PARA EL STORAGE INMUTABLE.
NETBACKUP WORM STORAGE SERVER version 20.4.0.1</t>
  </si>
  <si>
    <t>192.168.19.11</t>
  </si>
  <si>
    <t>X1 G8 32 GB RAM</t>
  </si>
  <si>
    <t>SPOCC 3PAR 7400</t>
  </si>
  <si>
    <t>Report 3PAR 7400</t>
  </si>
  <si>
    <t>192.168.21.200 - recibe logs
192.168.21.148 administración de la consola del 3par</t>
  </si>
  <si>
    <t>Linux - OTR</t>
  </si>
  <si>
    <t>NO, sistema opertivo propietario de Storage 3PAR</t>
  </si>
  <si>
    <t>SPOCC 3PAR 7450</t>
  </si>
  <si>
    <t>Report 3PAR 7450</t>
  </si>
  <si>
    <t>192.168.21.149 recibe logs
192.168.21.229 administración de la consola del 3par</t>
  </si>
  <si>
    <t>2X GEN9 16 GB RAM</t>
  </si>
  <si>
    <t>tvc-srv-elern1</t>
  </si>
  <si>
    <t>192.168.29.250</t>
  </si>
  <si>
    <t>2X GEN9 32 GB RAM. 8 core.
Intel Xeon CPU E5-2620 v4, 2,10Ghz</t>
  </si>
  <si>
    <t>tvc-srv-arbhp</t>
  </si>
  <si>
    <t>Servidor de Veeam Backup fisico y arbiter del Simplivity (orquestador del Simplivity de UIO)</t>
  </si>
  <si>
    <t>192.168.21.112</t>
  </si>
  <si>
    <t>Windows Server 2019</t>
  </si>
  <si>
    <t>No, por el momento en desarrollo</t>
  </si>
  <si>
    <t>1X GEN 10 128 GB RAM</t>
  </si>
  <si>
    <t>tvc-srv-nqlv</t>
  </si>
  <si>
    <t>Servidor QLView</t>
  </si>
  <si>
    <t>192.168.21.111</t>
  </si>
  <si>
    <t>Veritas-FUllSat-Ret15_UIO_11</t>
  </si>
  <si>
    <t>HP PROLIANT DL380p Gen8</t>
  </si>
  <si>
    <t>192.168.34.15</t>
  </si>
  <si>
    <t>1 Intel Xeon(R) CPU E5-2630 v2 @2,60GHz</t>
  </si>
  <si>
    <t>Ubuntu 24.04 LTs.</t>
  </si>
  <si>
    <t>ALMACENAMIENTO</t>
  </si>
  <si>
    <t>TOTAL EQUIPOS</t>
  </si>
  <si>
    <t>FISICOS</t>
  </si>
  <si>
    <t xml:space="preserve">VIRTUALES </t>
  </si>
  <si>
    <t>GB</t>
  </si>
  <si>
    <t>TOTAL SOPORTE</t>
  </si>
  <si>
    <t>AGENTE DE ANTIVIRUS UIO</t>
  </si>
  <si>
    <t>TB</t>
  </si>
  <si>
    <t>SRV DE TECNOLOGIA</t>
  </si>
  <si>
    <t>STORAGE DATACENTER GYE</t>
  </si>
  <si>
    <t>SRV DE TI</t>
  </si>
  <si>
    <t>Nombre Storage</t>
  </si>
  <si>
    <t>USO</t>
  </si>
  <si>
    <t>IP</t>
  </si>
  <si>
    <t>Espacio Total</t>
  </si>
  <si>
    <t>OBSERVACION</t>
  </si>
  <si>
    <t>Sysnolgy DiskStation</t>
  </si>
  <si>
    <t>Infraestructura</t>
  </si>
  <si>
    <t>192.168.21.234</t>
  </si>
  <si>
    <t xml:space="preserve">http://192.168.21.234:5000/webman/index.cgi
</t>
  </si>
  <si>
    <t>SRV VIRTUALES TI UIO</t>
  </si>
  <si>
    <t>Asustor</t>
  </si>
  <si>
    <t>Verónica Molina</t>
  </si>
  <si>
    <t>192.168.21.177</t>
  </si>
  <si>
    <t>http://192.168.21.177:8000/portal/?62422AF5</t>
  </si>
  <si>
    <t>SRV FISICOS TI UIO</t>
  </si>
  <si>
    <t>NAS monitoreo</t>
  </si>
  <si>
    <t>192.168.21.106</t>
  </si>
  <si>
    <t>La administra el NOC</t>
  </si>
  <si>
    <t>http://192.168.21.106:8000/portal/index.cgi</t>
  </si>
  <si>
    <t>192.168.21.37</t>
  </si>
  <si>
    <t>Evelyn Puetate / Hector Miranda</t>
  </si>
  <si>
    <t>http://192.168.21.37:8000/portal/?5C7565EF</t>
  </si>
  <si>
    <t>OnBase</t>
  </si>
  <si>
    <t>192.168.21.135</t>
  </si>
  <si>
    <t>FSM</t>
  </si>
  <si>
    <t>192.168.21.29</t>
  </si>
  <si>
    <t>http://192.168.21.29:8000/portal/?5B50BBDF</t>
  </si>
  <si>
    <t>Respaldos Veem Backup</t>
  </si>
  <si>
    <t>192.168.21.254</t>
  </si>
  <si>
    <t>http://192.168.21.153:5000/webman/index.cgi</t>
  </si>
  <si>
    <t>TVGuia / Elastix</t>
  </si>
  <si>
    <t>192.168.21.136</t>
  </si>
  <si>
    <t>http://192.168.21.136:5000/webman/index.cgi</t>
  </si>
  <si>
    <t>StoreOnce</t>
  </si>
  <si>
    <t>Almacenamiento de dwh</t>
  </si>
  <si>
    <t>192.168.21.98</t>
  </si>
  <si>
    <t>https://192.168.21.98/fusion/resources/window.html?locale=en#session_timed_out</t>
  </si>
  <si>
    <t xml:space="preserve">
</t>
  </si>
  <si>
    <t>Fecha de actualización: 4Julio2024</t>
  </si>
  <si>
    <t>UIO</t>
  </si>
  <si>
    <t>shp</t>
  </si>
  <si>
    <t>192.168.21.32</t>
  </si>
  <si>
    <t>tvc-bss-crm-02</t>
  </si>
  <si>
    <t>Alepo- CRM + Billing + Product catalogue + Inventory + Trouble Ticketing + Affiliate Management +  Off line rating</t>
  </si>
  <si>
    <t>192.168.21.60</t>
  </si>
  <si>
    <t>Pendiente de confirmacion Xavier Leon</t>
  </si>
  <si>
    <t>Oracle Linux 8 (64-bit)</t>
  </si>
  <si>
    <t>Veritas-FUllMon-Ret15_UIO_00</t>
  </si>
  <si>
    <t>tvc-bss-ffm-02</t>
  </si>
  <si>
    <t>Alepo - FFM</t>
  </si>
  <si>
    <t>192.168.21.61</t>
  </si>
  <si>
    <t>tvc-bss-inter-02</t>
  </si>
  <si>
    <t>Alepo - Interconnect</t>
  </si>
  <si>
    <t>192.168.21.65</t>
  </si>
  <si>
    <t>tvc-bss-mediation-02</t>
  </si>
  <si>
    <t>Alepo - Mediation</t>
  </si>
  <si>
    <t>192.168.21.64</t>
  </si>
  <si>
    <t>tvc-bss-oms-02</t>
  </si>
  <si>
    <t>Alepo - Order Management</t>
  </si>
  <si>
    <t>192.168.21.66</t>
  </si>
  <si>
    <t>tvc-bss-wsrc-02</t>
  </si>
  <si>
    <t>Alepo - Web Self Care + Chatbot + Whatsapp</t>
  </si>
  <si>
    <t>192.168.21.62</t>
  </si>
  <si>
    <t>tvc-srv-admapp - ELIMINADO</t>
  </si>
  <si>
    <t>Recursos Humanos Apicación</t>
  </si>
  <si>
    <t>192.168.21.119</t>
  </si>
  <si>
    <t>ELIMINADO</t>
  </si>
  <si>
    <t>SQL Server 2014</t>
  </si>
  <si>
    <t>NO equipo apagado</t>
  </si>
  <si>
    <t>tvc-srv-admbd - ELIMINADO</t>
  </si>
  <si>
    <t>Recursos Humanos Base de Datos</t>
  </si>
  <si>
    <t>192.168.21.121</t>
  </si>
  <si>
    <t>Evelyn Puetate /Yurema Tobar</t>
  </si>
  <si>
    <t xml:space="preserve">
tvc-srv-as2back</t>
  </si>
  <si>
    <t>Carlos Ayala / Christian Castillo</t>
  </si>
  <si>
    <t>tvc-srv-eleuio - ELIMINADO</t>
  </si>
  <si>
    <t>Servidor elearning TEC. overtime</t>
  </si>
  <si>
    <t>192.168.21.242</t>
  </si>
  <si>
    <t>200.63.213.25</t>
  </si>
  <si>
    <t>Julio Enriquez</t>
  </si>
  <si>
    <t>192.168.21.123</t>
  </si>
  <si>
    <t>CONFIGURACIÓN</t>
  </si>
  <si>
    <t>tvc-srv-malepo</t>
  </si>
  <si>
    <t>Mediador Alepo Comarch.</t>
  </si>
  <si>
    <t>Microsoft Windows Server 2016 or later (64-bit)</t>
  </si>
  <si>
    <t>tvc-srv-monitoreoapp - APAGADO</t>
  </si>
  <si>
    <t>Monitoreo aplicaciones - NAGIOS</t>
  </si>
  <si>
    <t>192.168.21.194</t>
  </si>
  <si>
    <r>
      <rPr>
        <b/>
        <sz val="12"/>
        <color rgb="FF000000"/>
        <rFont val="Calibri"/>
        <family val="2"/>
      </rPr>
      <t xml:space="preserve">Pruebas página de Xtrim
</t>
    </r>
    <r>
      <rPr>
        <sz val="12"/>
        <color rgb="FF000000"/>
        <rFont val="Calibri"/>
        <family val="2"/>
      </rPr>
      <t>En el servidor 21.189 se encuentran las siguientes aplicaciones
1.	JBoss y CM de Desarrollo
2.	Dps de desarrollo
3.	JBoss y CM de AQTEST
4.	Dps de desarrollo (QAtest)
Adicionalmente funciona como repositorio ftp para transacciones de pruebas, como por ejemplo
1.	SoftSwitch
2.	Débitos automáticos
3.	Cdr
4. Facturación electronica de prueba.</t>
    </r>
  </si>
  <si>
    <t>Enviar mensajes para Conax.SMS. Pagina de Vendedores. https://vendedores.xtrim.tv/LoginEfx.aspx</t>
  </si>
  <si>
    <t>192.168.21.251</t>
  </si>
  <si>
    <t>tvc-srv-ntpuio</t>
  </si>
  <si>
    <t>Servidor NTP Alepo</t>
  </si>
  <si>
    <t>192.168.21.238</t>
  </si>
  <si>
    <t>Red Hat Enterprise Linux 7.9 (64-bit)</t>
  </si>
  <si>
    <t>192.168.21.21</t>
  </si>
  <si>
    <t>tvc-srv-satelitepam</t>
  </si>
  <si>
    <t>tvc-srv-shpapp - ELIMINADO</t>
  </si>
  <si>
    <t>192.168.21.154</t>
  </si>
  <si>
    <t>tvc-srv-shpdb</t>
  </si>
  <si>
    <t>Base de datos Share Point</t>
  </si>
  <si>
    <t>192.168.21.156</t>
  </si>
  <si>
    <t>tvc-srv-shpdb1</t>
  </si>
  <si>
    <t>Base de datos para SharePoint</t>
  </si>
  <si>
    <t>192.168.21.127</t>
  </si>
  <si>
    <t>200.63.213.58</t>
  </si>
  <si>
    <t>SQL Server 2012 SP4</t>
  </si>
  <si>
    <t>tvc-srv-shpso1</t>
  </si>
  <si>
    <t>SharePoint</t>
  </si>
  <si>
    <t>192.168.21.137</t>
  </si>
  <si>
    <t>tvc-srv-smsdth</t>
  </si>
  <si>
    <t>Pruebas sms DTH</t>
  </si>
  <si>
    <t>192.168.21.44</t>
  </si>
  <si>
    <t>APAGADO</t>
  </si>
  <si>
    <t>ELIMINAR</t>
  </si>
  <si>
    <t>MySQL 5.1.36-community edition</t>
  </si>
  <si>
    <t>tvc-srv-softbd</t>
  </si>
  <si>
    <t>Servidor Dockers Net Core Apis</t>
  </si>
  <si>
    <t>tvc-srv-veritas (ELIMINADO)</t>
  </si>
  <si>
    <t>Servidor Respaldos Veritas NetBackup</t>
  </si>
  <si>
    <t>192.168.21.125</t>
  </si>
  <si>
    <t>tvc-srv-veritasflexuio</t>
  </si>
  <si>
    <t>SERVIDOR QUE SERÁ LA COMUNICACIÓN DIRECTA AL FLEX VERITAS, PARA EJECUTAR EL JAVA.</t>
  </si>
  <si>
    <t>192.168.21.244</t>
  </si>
  <si>
    <t>tvc-srv-webdth</t>
  </si>
  <si>
    <t>WEB DTH, Conciliador Prepago, Integrador Satelital, Cas Integrador</t>
  </si>
  <si>
    <t>192.168.21.191</t>
  </si>
  <si>
    <t>200.63.213.17</t>
  </si>
  <si>
    <t>tvc-srv-whatsupg (apagado)</t>
  </si>
  <si>
    <t>Monitoreo red</t>
  </si>
  <si>
    <t xml:space="preserve">Hector Miranda </t>
  </si>
  <si>
    <t>A ELIMINAR</t>
  </si>
  <si>
    <t>tvc-srv-www</t>
  </si>
  <si>
    <t>Boton de pago, el administrador de xtrim e ingreso de contrato. App Movil y Web service de los canales de Xtrim. Tiene Base de datos. https://mixtrim.com.ec/administrador/</t>
  </si>
  <si>
    <t>tvc-srvtestlink</t>
  </si>
  <si>
    <t>Servidor para QA Testlink</t>
  </si>
  <si>
    <t>Red Hat Enterprise Linux 5,5 (64-bit)</t>
  </si>
  <si>
    <t>zrcarcelen-sis.grupotvcable.com (ELIMINADO)</t>
  </si>
  <si>
    <t xml:space="preserve">Maquina de Richard Carcelen, por tema de licencia de un programa. </t>
  </si>
  <si>
    <t>192.168.21.109</t>
  </si>
  <si>
    <t>Microsoft Windows 7 (64-bit)</t>
  </si>
  <si>
    <t xml:space="preserve">15.88 </t>
  </si>
  <si>
    <t>No porque es equipo de usuario</t>
  </si>
  <si>
    <t>ZTemporal (ELIMINADO)</t>
  </si>
  <si>
    <t xml:space="preserve">Servidor con aplicativos de sybase </t>
  </si>
  <si>
    <t>192.168.21.245</t>
  </si>
  <si>
    <t>CLUSTER</t>
  </si>
  <si>
    <t>192.168.21.120</t>
  </si>
  <si>
    <t>192.168.21.122</t>
  </si>
  <si>
    <t>iway_ddns1</t>
  </si>
  <si>
    <t>INTRAWAY</t>
  </si>
  <si>
    <t>10.200.33.38</t>
  </si>
  <si>
    <t>Dario Paucar</t>
  </si>
  <si>
    <t>TECNOAV</t>
  </si>
  <si>
    <t>iway_pcautivo1</t>
  </si>
  <si>
    <t>10.102.101.23</t>
  </si>
  <si>
    <t>iwy_dhcp1</t>
  </si>
  <si>
    <t>10.102.101.36</t>
  </si>
  <si>
    <t>iwy_tftp1</t>
  </si>
  <si>
    <t>10.200.33.34</t>
  </si>
  <si>
    <t>iway_autogestion</t>
  </si>
  <si>
    <t>10.102.101.24</t>
  </si>
  <si>
    <t>iway_ws1</t>
  </si>
  <si>
    <t>10.102.101.21</t>
  </si>
  <si>
    <t>iwy_dhcp2</t>
  </si>
  <si>
    <t>10.102.101.37</t>
  </si>
  <si>
    <t>iwy_tftp2</t>
  </si>
  <si>
    <t>10.200.33.35</t>
  </si>
  <si>
    <t>iway_ddns2</t>
  </si>
  <si>
    <t>10.200.33.40</t>
  </si>
  <si>
    <t>iway_email</t>
  </si>
  <si>
    <t>10.200.33.52</t>
  </si>
  <si>
    <t>iway_ws2</t>
  </si>
  <si>
    <t>10.102.101.22</t>
  </si>
  <si>
    <t>DHCP_GPON_R1</t>
  </si>
  <si>
    <t>TECNOLOGIA</t>
  </si>
  <si>
    <t>10.200.8.221</t>
  </si>
  <si>
    <t>Centos 7 (64-bit)</t>
  </si>
  <si>
    <t>DHCP_GPON_MAQUETA_CENTOS</t>
  </si>
  <si>
    <t>10.200.8.250</t>
  </si>
  <si>
    <t>DHCP_GPON_R1_UBUNTU</t>
  </si>
  <si>
    <t>10.200.8.251</t>
  </si>
  <si>
    <t>DNS_RESIDENCIAL_2</t>
  </si>
  <si>
    <t>10.200.8.40</t>
  </si>
  <si>
    <t>IPG_TV</t>
  </si>
  <si>
    <t>193.2.1.100</t>
  </si>
  <si>
    <t>ISPMONITOR</t>
  </si>
  <si>
    <t>10.200.8.91</t>
  </si>
  <si>
    <t>SOC_ALTEL</t>
  </si>
  <si>
    <t>10.200.8.67</t>
  </si>
  <si>
    <t>CARRUSEL_GUIA</t>
  </si>
  <si>
    <t>193.2.1.251</t>
  </si>
  <si>
    <t>DNS_RESIDENCIAL_1</t>
  </si>
  <si>
    <t>100.200.8.38</t>
  </si>
  <si>
    <t>FORTIMANAGER</t>
  </si>
  <si>
    <t>Other 2.6 or later Linux (64-bit)</t>
  </si>
  <si>
    <t>ORION_2</t>
  </si>
  <si>
    <t>10.200.8.124</t>
  </si>
  <si>
    <t>Orion_DB</t>
  </si>
  <si>
    <t>10.200.8.121</t>
  </si>
  <si>
    <t>RMS_TACACS_NEW</t>
  </si>
  <si>
    <t>10.200.8.147</t>
  </si>
  <si>
    <t>Microsoft Windows Server 2022</t>
  </si>
  <si>
    <t>RMS_TACACS_RADIUS_API</t>
  </si>
  <si>
    <t>Microsoft Windows Server 2008 R2 (64-bit)</t>
  </si>
  <si>
    <t xml:space="preserve">
278,88</t>
  </si>
  <si>
    <t>WEBHOSTING</t>
  </si>
  <si>
    <t>10.200.8.39</t>
  </si>
  <si>
    <t>WEB_ORION</t>
  </si>
  <si>
    <t>10.200.8.94</t>
  </si>
  <si>
    <t>CORVIEW_TDD</t>
  </si>
  <si>
    <t>10.200.8.107</t>
  </si>
  <si>
    <t>DNS_COORPORATIVO</t>
  </si>
  <si>
    <t>10.200.8.37</t>
  </si>
  <si>
    <t>170.11</t>
  </si>
  <si>
    <t>IMPULSE_TV</t>
  </si>
  <si>
    <t>193.2.1.101</t>
  </si>
  <si>
    <t>MULTITAREA</t>
  </si>
  <si>
    <t>10.200.8.138</t>
  </si>
  <si>
    <t>ORION_1</t>
  </si>
  <si>
    <t>10.200.8.71</t>
  </si>
  <si>
    <t>SYSLOG</t>
  </si>
  <si>
    <t>10.200.8.135</t>
  </si>
  <si>
    <t>vCLS-7a0dae64-7509-41a0-a782-7912193455ff</t>
  </si>
  <si>
    <t>vCLS-46f4ceae-54d8-4e76-8378-3cec0dbc8392</t>
  </si>
  <si>
    <t>vCLS-29f198cd-0fcc-4e2c-b188-5dfa55441f94</t>
  </si>
  <si>
    <t>soc_altel</t>
  </si>
  <si>
    <t>10.200.8.66</t>
  </si>
  <si>
    <t>Red Hat Enterprise Linux  9 (64-bit)</t>
  </si>
  <si>
    <t>192.168.34.118</t>
  </si>
  <si>
    <t>tvc-srv-dtwhdb - APAGADO</t>
  </si>
  <si>
    <t>Servidor base de datos Data Warehouse</t>
  </si>
  <si>
    <t>192.168.21.143</t>
  </si>
  <si>
    <t>Carlos Ayala</t>
  </si>
  <si>
    <t>SYBASE</t>
  </si>
  <si>
    <t>Sybase IQ 15</t>
  </si>
  <si>
    <t>21.29</t>
  </si>
  <si>
    <t>tvc-srv-oklauio1</t>
  </si>
  <si>
    <t>Servidor Ookla</t>
  </si>
  <si>
    <t>192.168.21.237</t>
  </si>
  <si>
    <t>200.63.213.87</t>
  </si>
  <si>
    <t>Ubuntu 22.04</t>
  </si>
  <si>
    <t>192.168.34.126</t>
  </si>
  <si>
    <t>C7000 BLADE</t>
  </si>
  <si>
    <t>IWAY BD PRINCIPAL</t>
  </si>
  <si>
    <t>Equipos bajo responsabilidad Tecnología</t>
  </si>
  <si>
    <t>IWAY BD BACKUP</t>
  </si>
  <si>
    <t>1X GEN8, 
Processor Name	Intel(R) Xeon(R) CPU E5-2667 v2 @ 3.30GHz, 1 slot de memoria de  192 GB RAM</t>
  </si>
  <si>
    <t>tvc-srv-nver (apagado)</t>
  </si>
  <si>
    <t>Comarch Revitalizacion - esquema de test y desarrollo.</t>
  </si>
  <si>
    <t>192.168.21.146</t>
  </si>
  <si>
    <t>200.63.213.86</t>
  </si>
  <si>
    <t>DAR DE BAJA</t>
  </si>
  <si>
    <t>Veritas-FullMon-Ret60_UIO_16</t>
  </si>
  <si>
    <t>1X GEN9, 
	Intel(R) Xeon(R) CPU E5-2640 v3 @ 2.60GHz, 1 slot de memoria de  64 GB RAM</t>
  </si>
  <si>
    <t>SE RETIRO EL BLADE POR PARTE DE MAINT.</t>
  </si>
  <si>
    <t>tvc-srv-qtev</t>
  </si>
  <si>
    <t>CN731100XG</t>
  </si>
  <si>
    <t>2X Gen8, Intel(R) Xeon(R) CPU E5-2643 0 @ 3.30GHz, 1 slot de memoria 192 GB RAM</t>
  </si>
  <si>
    <t>tvc-srv-qtevbla</t>
  </si>
  <si>
    <t>192.168.21.10</t>
  </si>
  <si>
    <t>VeronicaMolina</t>
  </si>
  <si>
    <t>SUNFIRE X4275</t>
  </si>
  <si>
    <t>X1 XEON 96 GB RAM</t>
  </si>
  <si>
    <t>tvc-srv-dtwhapp - APAGADO</t>
  </si>
  <si>
    <t>Dataware House</t>
  </si>
  <si>
    <t>192.168.21.142</t>
  </si>
  <si>
    <t>Veronica Molina / Carlos Ayala</t>
  </si>
  <si>
    <t>No permite sacar respaldo, sistema operativo antiguo</t>
  </si>
  <si>
    <t>mgm: 192.168.18.21
ilo: 192.168.</t>
  </si>
  <si>
    <t>veritasflexuio</t>
  </si>
  <si>
    <t>ES LA INSTANCIA PRINCIPAL PARA LA CONEXIÓN AL FLEX DE VERITAS, DONDE ESTARAN LOS CATALOGOS - POLITICAS.
NETBACKUP PRIMARY SERVER version 10.3.0.1</t>
  </si>
  <si>
    <t>ES EL ENCARGADO DE SER EL INTERMEDIO DE LAS POLITICAS CON EL STORAGE INMUTABLE.
NETBACKUP MEDIA SERVER version 10.3.0.1</t>
  </si>
  <si>
    <t>ES LA INSTANCIA QUE SE CREA PARA EL STORAGE INMUTABLE.
NETBACKUP WORM STORAGE SERVER version 19.0.1</t>
  </si>
  <si>
    <t>200.63.213.32</t>
  </si>
  <si>
    <t>TEC</t>
  </si>
  <si>
    <t>Servidor de Veeam Backup fisico.</t>
  </si>
  <si>
    <t>VIRTUALES</t>
  </si>
  <si>
    <t>AGENTE DE WORKLOAD TREND MICRO UIO</t>
  </si>
  <si>
    <t>http://192.168.21.135:8000/portal/?57DB386C</t>
  </si>
  <si>
    <t>INVENTARIO DE SERVIDORES VIRTUALIZADOS Y FISICOS GYE 2025</t>
  </si>
  <si>
    <t>Fecha de actualización: 25/09/2025</t>
  </si>
  <si>
    <t>Actualizado por:</t>
  </si>
  <si>
    <t>Mireya Iturralde</t>
  </si>
  <si>
    <t>IP del blade</t>
  </si>
  <si>
    <t>NIVEL DE BACKUP</t>
  </si>
  <si>
    <t>COMENTARIO</t>
  </si>
  <si>
    <t>GYE - C7000</t>
  </si>
  <si>
    <t>C7000 - VDI</t>
  </si>
  <si>
    <t>BL460C</t>
  </si>
  <si>
    <t>CZ3741XKMH</t>
  </si>
  <si>
    <t>192.168.9.50</t>
  </si>
  <si>
    <t>2X Gen9, Intel(R) Xeon(R) CPU E5-2620 v4 @ 2.10GHz, 2 slot de c/u 128GB en total 256 GB RAM</t>
  </si>
  <si>
    <t>TERMINA 2023</t>
  </si>
  <si>
    <t>CZ3741XKN1</t>
  </si>
  <si>
    <t>192.168.9.49</t>
  </si>
  <si>
    <t>2X Gen9, Intel(R) Xeon(R) CPU E5-2620 v4 @ 2.10GHz, 2 slot de c/u de 128 GB en total 256 GB RAM</t>
  </si>
  <si>
    <t>No se ejecuta porque, es un srv replicado del cloud1</t>
  </si>
  <si>
    <t>CZ3741XKMF</t>
  </si>
  <si>
    <t>192.168.9.51</t>
  </si>
  <si>
    <t xml:space="preserve">TVC-SRV-N8NDES
</t>
  </si>
  <si>
    <t xml:space="preserve"> Pruebas con un software de gestión documental</t>
  </si>
  <si>
    <t>192.168.77.21</t>
  </si>
  <si>
    <t>Red Hat Enterprise Linux 9.5 (64-bit)</t>
  </si>
  <si>
    <t>Veritas-FullWed-Ret90_GYE_18</t>
  </si>
  <si>
    <t>192.168.9.53</t>
  </si>
  <si>
    <t xml:space="preserve">TVC-SRV-GYELZBXDB01
</t>
  </si>
  <si>
    <t>Proyecto Zabbix</t>
  </si>
  <si>
    <t>192.168.77.22</t>
  </si>
  <si>
    <t>Jose Fernandez/ Alejandro Alvarez</t>
  </si>
  <si>
    <t xml:space="preserve">TVC-SRV-GYELZBXSRV01 </t>
  </si>
  <si>
    <t>192.168.77.23</t>
  </si>
  <si>
    <t xml:space="preserve">
XTR-SRV-WORKERNODTES
</t>
  </si>
  <si>
    <t>CLUSTER KUBERNETS WORKER NODE PARA EL NUEVO BSS AMBIENTE DE TEST</t>
  </si>
  <si>
    <t>192.168.76.24</t>
  </si>
  <si>
    <t>Harry Salvatierra</t>
  </si>
  <si>
    <t>TEST</t>
  </si>
  <si>
    <t>Veritas-Full-TueRet90_GYE_19</t>
  </si>
  <si>
    <t xml:space="preserve">
XTR-SRV-MASTERNODTES
</t>
  </si>
  <si>
    <t>CLUSTER KUBERNETS MASTER NODE PARA EL NUEVO BSS AMBIENTE DE TEST</t>
  </si>
  <si>
    <t>192.168.76.25</t>
  </si>
  <si>
    <t xml:space="preserve">
XTR-SRV-WORKERNODDES
</t>
  </si>
  <si>
    <t>CLUSTER KUBERNETS WORKER NODE PARA EL NUEVO BSS AMBIENTE DESARROLLO</t>
  </si>
  <si>
    <t>192.168.77.11</t>
  </si>
  <si>
    <t>Veritas-Full-MonRet90_GYE_20</t>
  </si>
  <si>
    <t xml:space="preserve">
XTR-SRV-MASTERNODDES
</t>
  </si>
  <si>
    <t>CLUSTER KUBERNETS MASTER NODE PARA EL NUEVO BSS AMBIENTE DESARROLLO</t>
  </si>
  <si>
    <t>192.168.77.10</t>
  </si>
  <si>
    <t xml:space="preserve">TVC-SRV-LANDINGPAGE
</t>
  </si>
  <si>
    <t>Boton de pagos-SRV ligado a landingpagebak y pro</t>
  </si>
  <si>
    <t>192.168.76.21</t>
  </si>
  <si>
    <t>David Villamar</t>
  </si>
  <si>
    <t>Ubuntu 22.04 LTS</t>
  </si>
  <si>
    <t>TVC-SRV-MEDIADORDACCclon</t>
  </si>
  <si>
    <t>192.168.77.27</t>
  </si>
  <si>
    <t>tvc-srv-njbdps2clon</t>
  </si>
  <si>
    <t>192.168.77.28</t>
  </si>
  <si>
    <t>XTR-SRV-BACKEND-VT</t>
  </si>
  <si>
    <t>Es usado para la celula de ventas, que lo configura Daniel Solano. Conexión con bitbucket.TEST</t>
  </si>
  <si>
    <t>192.168.76.29</t>
  </si>
  <si>
    <t>Veritas-FullSun-Ret90_GYE_14</t>
  </si>
  <si>
    <t>XTR-SRV-PLAYOPSTES</t>
  </si>
  <si>
    <t>192.168.76.15</t>
  </si>
  <si>
    <t>XTR-SRV-BACKEND-VTA</t>
  </si>
  <si>
    <t>Es usado para la celula de ventas, que lo configura Daniel Solano. Conexión con bitbucket.DESA</t>
  </si>
  <si>
    <t>192.168.77.31</t>
  </si>
  <si>
    <t>XTR-SRV-DBRRHH</t>
  </si>
  <si>
    <t>BASE DE DATOS para el CMS (Sistema de gestión de contenido) del proyecto Intranet Xtrim.</t>
  </si>
  <si>
    <t>192.168.77.32</t>
  </si>
  <si>
    <t>XTR-SRV-DBINTRAXTR</t>
  </si>
  <si>
    <t>SERVIDOR DE BASES DE DATOS PARA EL PROYECTO DE RRHH - INTRANET (AMBIENTE DE TEST)</t>
  </si>
  <si>
    <t>192.168.76.50</t>
  </si>
  <si>
    <t>Miguel Briones / Carlos Ayala</t>
  </si>
  <si>
    <t>Veritas-FullThu-Ret90_GYE_17</t>
  </si>
  <si>
    <t xml:space="preserve">
XTR-SRV-xtrimdesa-ad</t>
  </si>
  <si>
    <t>SERVIDOR DE DNS PARA EL AMBIENTE DE DESARROLLO Y TEST</t>
  </si>
  <si>
    <t>192.168.77.35</t>
  </si>
  <si>
    <t>WINdows Server 2016</t>
  </si>
  <si>
    <t>XTR-SRV-FRONTEND-VT</t>
  </si>
  <si>
    <t>celula de ventas</t>
  </si>
  <si>
    <t>192.168.76.30</t>
  </si>
  <si>
    <t xml:space="preserve">XTR-SRV-FRONTEND-VT
</t>
  </si>
  <si>
    <t>XTR-SRV-FRONTEND-VTA</t>
  </si>
  <si>
    <t>192.168.77.30</t>
  </si>
  <si>
    <t xml:space="preserve">XTR-SRV-GYELDASH01 </t>
  </si>
  <si>
    <t>GRAFANA(herramienta de visualización de datos y monitoreo de código abierto)</t>
  </si>
  <si>
    <t>192.168.77.24</t>
  </si>
  <si>
    <t xml:space="preserve">XTR-SRV-GYELIPAM01
</t>
  </si>
  <si>
    <t>IPAM(herramientas utilizadas para gestionar y organizar las direcciones IP)</t>
  </si>
  <si>
    <t>192.168.77.25</t>
  </si>
  <si>
    <t>XTR-SRV-LANDZAPPING</t>
  </si>
  <si>
    <t>Boton de pagosZAPPING -SRV ligado a landzappingbak y pro</t>
  </si>
  <si>
    <t>192.168.76.28</t>
  </si>
  <si>
    <t xml:space="preserve">SI </t>
  </si>
  <si>
    <t xml:space="preserve">XTR-SRV-MASTERNODDES
</t>
  </si>
  <si>
    <t>DES</t>
  </si>
  <si>
    <t xml:space="preserve">XTR-SRV-WORKERNODDES
</t>
  </si>
  <si>
    <t>XTR-SRV-N8NTEST</t>
  </si>
  <si>
    <t>para la aplicación de automatización N8N</t>
  </si>
  <si>
    <t>192.168.76.31</t>
  </si>
  <si>
    <t xml:space="preserve">
xtr-srv-njdpstest</t>
  </si>
  <si>
    <t>Servidor replica del 21,189 como test</t>
  </si>
  <si>
    <t>192.168.76.42</t>
  </si>
  <si>
    <t>CENTOS 7</t>
  </si>
  <si>
    <t>XTR-SRV-PORTALOPE</t>
  </si>
  <si>
    <t>servidor para Portal de Operaciones</t>
  </si>
  <si>
    <t>192.168.77.34</t>
  </si>
  <si>
    <t>REd Hat Enterprise Linux 9.5 (64-bit)</t>
  </si>
  <si>
    <t>XTR-SRV-SGSI01</t>
  </si>
  <si>
    <t xml:space="preserve"> Herramienta CISO Assistant para llevar el control del SGSI en Ciberseguridad.</t>
  </si>
  <si>
    <t>192.168.77.36</t>
  </si>
  <si>
    <t xml:space="preserve">TVCSRVVCG
</t>
  </si>
  <si>
    <t>VCENTER DE GUAYAQUIL</t>
  </si>
  <si>
    <t>192.168.59.130</t>
  </si>
  <si>
    <t>VMWARE PHOTO OS</t>
  </si>
  <si>
    <t xml:space="preserve">Veritas-FullThu-Ret90_GYE_15
</t>
  </si>
  <si>
    <t>NO MOVER</t>
  </si>
  <si>
    <t>TVC-SRV-ARBITER</t>
  </si>
  <si>
    <t>Servidor Arbitrario para el simplivity, permite la comunicación con los nodos GYE. Se puede reiniciar el servidor pero siempre debe estar arriba, porque si existe un problema con los nodos del Simplivity, luego no habria quien gestione quien es el nodo master.</t>
  </si>
  <si>
    <t>192.168.59.54</t>
  </si>
  <si>
    <t>C7000-TEC</t>
  </si>
  <si>
    <t>CZ3741XKMS</t>
  </si>
  <si>
    <t>192.168.94.41</t>
  </si>
  <si>
    <t>2X Gen9, Intel(R) Xeon(R) CPU E5-2620 v4 @ 2.10GHz,  2 slot de c/u de 128GB en total 256 GB RAM</t>
  </si>
  <si>
    <t>CZ3741XKMY</t>
  </si>
  <si>
    <t>192.168.94.42</t>
  </si>
  <si>
    <t>2X Gen9, Intel(R) Xeon(R) CPU E5-2620 v4 @ 2.10GHz, 2 slot de c/u de 128GB en total  256 GB RAM</t>
  </si>
  <si>
    <t>nmen</t>
  </si>
  <si>
    <t>CZ3741XKMD</t>
  </si>
  <si>
    <t>192.168.94.43</t>
  </si>
  <si>
    <t>2X Gen9, Intel(R) Xeon(R) CPU E5-2620 v4 @ 2.10GHz, 2 slot de c/u de 128GB en total 256 GB RAM</t>
  </si>
  <si>
    <t>HP C7000</t>
  </si>
  <si>
    <t>2X Gen10, Intel(R) Xeon(R) Gold 5120 CPU @ 2.20GHz,  2 slot de memoria : de 128GB y 256GB, en total 384 GB RAM</t>
  </si>
  <si>
    <t>Por tema de espacio no tenemos donde almacenar 9TB, y no hay espacio para instalar un plugin de veeam y respaldar el srv oracle.</t>
  </si>
  <si>
    <t>HP C7000 - DBFLASH</t>
  </si>
  <si>
    <t>2M293800B9</t>
  </si>
  <si>
    <t>192.168.59.12</t>
  </si>
  <si>
    <t>TVC-SRV-DBFLASH</t>
  </si>
  <si>
    <t>BASE DE DATOS STAND BY DE FSM POR FLASH COPY</t>
  </si>
  <si>
    <t>Oracle Linux 7.6</t>
  </si>
  <si>
    <t>GYE - SIMPLIVITY</t>
  </si>
  <si>
    <t>tvc-nodo1gye</t>
  </si>
  <si>
    <t>2M232601ZM</t>
  </si>
  <si>
    <t>192.168.9.28</t>
  </si>
  <si>
    <t>Gen 10, 1 TB RAM Y 25TB</t>
  </si>
  <si>
    <t>ise-xtrim-APcisco</t>
  </si>
  <si>
    <t>Servidor de Access Point de Cisco, e sun OVA.</t>
  </si>
  <si>
    <t>192.168.59.30</t>
  </si>
  <si>
    <t>Sergio AScencio / Luis Conteron</t>
  </si>
  <si>
    <t>Red Hat Enterprise Linux 7</t>
  </si>
  <si>
    <t>Veritas-FullMon-Ret90_GYE_13</t>
  </si>
  <si>
    <t>tvc-nodo2gye</t>
  </si>
  <si>
    <t>2M232601ZJ</t>
  </si>
  <si>
    <t>192.168.9.30</t>
  </si>
  <si>
    <t>FORTIANALYZER-VM64</t>
  </si>
  <si>
    <t>Servidor Forticlient</t>
  </si>
  <si>
    <t>192.168.59.41</t>
  </si>
  <si>
    <t>FortiAnalyzer-VM64 - OTRO</t>
  </si>
  <si>
    <t>Veritas-FullThu-Ret90_GYE_15</t>
  </si>
  <si>
    <t>tvc-nodo3gye</t>
  </si>
  <si>
    <t>2M232601ZK</t>
  </si>
  <si>
    <t>192.168.9.32</t>
  </si>
  <si>
    <t>OmniStackVC-192-168-9-29</t>
  </si>
  <si>
    <t>OMNISTACK DEL NODO 1 DEL SIMPLIVITY</t>
  </si>
  <si>
    <t>192.168.9.29</t>
  </si>
  <si>
    <t>es propio del Simplivity</t>
  </si>
  <si>
    <t>tvc-nodo4gye</t>
  </si>
  <si>
    <t>2M232601ZL</t>
  </si>
  <si>
    <t>192.168.9.34</t>
  </si>
  <si>
    <t>OmniStackVC-192-168-9-31</t>
  </si>
  <si>
    <t>OMNISTACK DEL NODO 2 DEL SIMPLIVITY</t>
  </si>
  <si>
    <t>OmniStackVC-192-168-9-33</t>
  </si>
  <si>
    <t>OMNISTACK DEL NODO 3 DEL SIMPLIVITY</t>
  </si>
  <si>
    <t>192.168.9.33</t>
  </si>
  <si>
    <t>OmniStackVC-192-168-9-35</t>
  </si>
  <si>
    <t>OMNISTACK DEL NODO  DEL SIMPLIVITY</t>
  </si>
  <si>
    <t>192.168.9.35</t>
  </si>
  <si>
    <t>TVC-SRV-ADMCTX</t>
  </si>
  <si>
    <t>Servidor histórico para monitorear por 1 hora, 2 enlaces del balanceador que se considere más crítico o con mayor tráfico. Es parte del netscaler y permite el envió de notificaciones de las alertas de SSL.</t>
  </si>
  <si>
    <t>192.168.9.225</t>
  </si>
  <si>
    <t>FreeBSD 11 - OTR 64bits</t>
  </si>
  <si>
    <t>Veritas-Fulltue-Ret90_GYE_01</t>
  </si>
  <si>
    <t>TVC-SRV-ANUBIS</t>
  </si>
  <si>
    <t>Caja segura de claves NAC</t>
  </si>
  <si>
    <t>192.168.59.118</t>
  </si>
  <si>
    <t>Jose Fernandez</t>
  </si>
  <si>
    <t>Debian 12 - OTR 64bits</t>
  </si>
  <si>
    <t>Veritas-FullWed-Ret90_GYE_02</t>
  </si>
  <si>
    <t>TVC-SRV-APP</t>
  </si>
  <si>
    <t>Despliegue de multiples aplicaciones (Inventario, Ficha medica, Sistema de grabaciones, y otras herramientas, keycloack)</t>
  </si>
  <si>
    <t>192.168.59.131</t>
  </si>
  <si>
    <t xml:space="preserve"> 190.154.47.131</t>
  </si>
  <si>
    <t>Administrador de aplicaciones / Carlos Ayala / Hector Miranda</t>
  </si>
  <si>
    <t>Microsoft Windows Server 2016</t>
  </si>
  <si>
    <t>TVC-SRVAPPMOV</t>
  </si>
  <si>
    <t>servicio de notificaciones y App movil pruebas. (registro de nat. Confirmado por Hector Miranda)</t>
  </si>
  <si>
    <t>192.168.59.117</t>
  </si>
  <si>
    <t>190.154.47.117</t>
  </si>
  <si>
    <t>TVC-SRV-ARCOTEL</t>
  </si>
  <si>
    <t>Servidor para las funcionalides de ARCOTEL</t>
  </si>
  <si>
    <t>192.168.59.56</t>
  </si>
  <si>
    <t>Windows 10 PRO</t>
  </si>
  <si>
    <t>TVC-SRV-AXAP</t>
  </si>
  <si>
    <t>Servidor AXENTRIA</t>
  </si>
  <si>
    <t>192.168.59.120</t>
  </si>
  <si>
    <t>200
300 
1224
1024</t>
  </si>
  <si>
    <t>TVC-SRV-AXSP</t>
  </si>
  <si>
    <t>Base de Datos del Servidor AXENTRIA</t>
  </si>
  <si>
    <t>192.168.59.121</t>
  </si>
  <si>
    <t>200
500</t>
  </si>
  <si>
    <t>SQL Server 2019 Standard Edition SP1</t>
  </si>
  <si>
    <t>TVC-SRV-AXWWW</t>
  </si>
  <si>
    <t>Servidor AXENTRIA - consultas WEB</t>
  </si>
  <si>
    <t>192.168.59.122</t>
  </si>
  <si>
    <t>TVC-SRV-CCLOUD1</t>
  </si>
  <si>
    <t>Servidor Cloud Clonnect de Citrix Principal</t>
  </si>
  <si>
    <t>192.168.59.226</t>
  </si>
  <si>
    <t>Veritas-FullSun-Ret90_GYE_16</t>
  </si>
  <si>
    <t>TVC-SRV-CCLOUD2</t>
  </si>
  <si>
    <t>Servidor Cloud Clonnect de Citrix Secundario</t>
  </si>
  <si>
    <t>192.168.59.225</t>
  </si>
  <si>
    <t>TVC-SRV-CENTELEF</t>
  </si>
  <si>
    <t>Central Telefonia Nueva</t>
  </si>
  <si>
    <t>192.168.59.152</t>
  </si>
  <si>
    <t>190.154.47.152</t>
  </si>
  <si>
    <t>Luis Conteron</t>
  </si>
  <si>
    <t>Sangoma Linux release 7.8.2003 (Core) -OTR</t>
  </si>
  <si>
    <t>Veritas-FullTue-Ret90_GYE_03</t>
  </si>
  <si>
    <t>TVC-SRV-CENTELEF2</t>
  </si>
  <si>
    <t>TVC-SRV-CLUSTER1</t>
  </si>
  <si>
    <t>Servidor para cluster DB (escritura y lectura) A LA ESPERA DE CONFIRMACION DE CAYALA</t>
  </si>
  <si>
    <t>192.168.59.43</t>
  </si>
  <si>
    <t>James Pesantes /Carlos Ayala</t>
  </si>
  <si>
    <t>Red Hat Enterprise Linux 9.3 (64-bit)</t>
  </si>
  <si>
    <t>MySQL 8 community edition</t>
  </si>
  <si>
    <t>TVC-SRV-CLUSTER2</t>
  </si>
  <si>
    <t>Servidor para cluster DB (escritura y lectura)</t>
  </si>
  <si>
    <t>192.168.59.45</t>
  </si>
  <si>
    <t xml:space="preserve">
TVC-SRV-COLSOC</t>
  </si>
  <si>
    <t>Colector de log del SOC</t>
  </si>
  <si>
    <t>192.168.59.119</t>
  </si>
  <si>
    <t>TVC-SRV-CONTV</t>
  </si>
  <si>
    <t>Servidor para la consola de tv que se asignaran a las islas</t>
  </si>
  <si>
    <t>192.168.59.58</t>
  </si>
  <si>
    <t>190.154.47.58</t>
  </si>
  <si>
    <t>Elsa Garcia</t>
  </si>
  <si>
    <t>Veritas-FullFrid-Ret90_GYE_09</t>
  </si>
  <si>
    <t>APAGADO EL 22 DE ENERO DE 2025</t>
  </si>
  <si>
    <t>TVC-SRV-CTXIM0</t>
  </si>
  <si>
    <t>Imagen maestra para servidores web y win de citrix</t>
  </si>
  <si>
    <t>192.168.59.221</t>
  </si>
  <si>
    <t>TVC-SRV-CTXWB01</t>
  </si>
  <si>
    <t>Servidor web para citrix cloud.</t>
  </si>
  <si>
    <t>192.168.17.16</t>
  </si>
  <si>
    <t>SERVIDOR ES UN CLON DE LA IMAGEN MAESTRA</t>
  </si>
  <si>
    <t>TVC-SRV-CTXWN01</t>
  </si>
  <si>
    <t>Servidor de aplicaciones windows para citrix cloud.</t>
  </si>
  <si>
    <t>192.168.17.12</t>
  </si>
  <si>
    <t>TVC-SRV-CTXWN02</t>
  </si>
  <si>
    <t>192.168.17.10</t>
  </si>
  <si>
    <t>TVC-SRV-CTXWN03</t>
  </si>
  <si>
    <t>192.168.17.13</t>
  </si>
  <si>
    <t>TVC-SRV-CTXWN04</t>
  </si>
  <si>
    <t>192.168.17.14</t>
  </si>
  <si>
    <t>TVC-SRV-CTXWN05</t>
  </si>
  <si>
    <t>192.168.17.15</t>
  </si>
  <si>
    <t>TVC-SRV-DBALL</t>
  </si>
  <si>
    <t>Servidor de base de datos para el balanceador. Mysql. de pruebas (confirmado ccastillo)</t>
  </si>
  <si>
    <t>192.168.59.204 /IP VIRTUAL 59.52</t>
  </si>
  <si>
    <t>150
300</t>
  </si>
  <si>
    <t>Veritas-FullSun-Ret90_GYE_06</t>
  </si>
  <si>
    <t>TVC-SRV-DBALL1</t>
  </si>
  <si>
    <t>Servidor de base de datos para el balanceador. Mysql</t>
  </si>
  <si>
    <t>192.168.59.206</t>
  </si>
  <si>
    <t>TVC-SRV-DBALL2</t>
  </si>
  <si>
    <t>192.168.59.207</t>
  </si>
  <si>
    <t>TVC-SRV-DBAPP</t>
  </si>
  <si>
    <t>Servidor de Base de datos de multiples aplicaciones (Inventario, Ficha medica, Sistema de grabaciones, y otras herramientas)</t>
  </si>
  <si>
    <t>192.168.59.137</t>
  </si>
  <si>
    <t>190.154.47.209</t>
  </si>
  <si>
    <t>James Pesantes /Carlos Ayala / Hector Miranda</t>
  </si>
  <si>
    <t>TVC-SRVDBCRM</t>
  </si>
  <si>
    <t>Servidor DB CRM</t>
  </si>
  <si>
    <t>192.168.59.202</t>
  </si>
  <si>
    <t>SQL Server 2016 Standard Edition</t>
  </si>
  <si>
    <t>Veritas-FullThu-Ret90_GYE_04</t>
  </si>
  <si>
    <t>TVC-SRV-DBING</t>
  </si>
  <si>
    <t xml:space="preserve">Servidor de ingreso de contrato con su respectiva base de datos. </t>
  </si>
  <si>
    <t>192.168.59.55</t>
  </si>
  <si>
    <t>190.154.47.55</t>
  </si>
  <si>
    <t>TVC-SRV-DBPANDORA</t>
  </si>
  <si>
    <t>Servidor de base de Datos de Pandora FMS Enterprise</t>
  </si>
  <si>
    <t>192.168.59.113</t>
  </si>
  <si>
    <t>Carlos Ayala /James Pesantes / Yurema Tobar</t>
  </si>
  <si>
    <t>TVC-SRV-DBSQL</t>
  </si>
  <si>
    <t>Servidor de base de datos para el balanceador. SQL SERVER</t>
  </si>
  <si>
    <t>192.168.59.205</t>
  </si>
  <si>
    <t>Carlos Ayala / Mauricio Rodriguez</t>
  </si>
  <si>
    <t>TVC-SRV-DHCPGYE</t>
  </si>
  <si>
    <t xml:space="preserve">Servidor deDHCP para GYE. A la espera para cambiar el DHCP a este servidor. </t>
  </si>
  <si>
    <t>192.168.59.84</t>
  </si>
  <si>
    <t>Yurema Tobar / Mireya Iturralde</t>
  </si>
  <si>
    <t>TVC-SRV-DISTRECOMMERCE</t>
  </si>
  <si>
    <t>Servidor para ECOMMERCE de ventas de terceros, para la autenticación de distribuidores de ventas. Para que la información de E-commerce de distribuidor no se mezcle con la información de E-commerce de servicio que está en producción.</t>
  </si>
  <si>
    <t>192.168.59.127</t>
  </si>
  <si>
    <t>190.154.47.127</t>
  </si>
  <si>
    <t>Administrador de aplicaciones / Hector Miranda</t>
  </si>
  <si>
    <t>TVC-SRV-DNACENTER</t>
  </si>
  <si>
    <t>Servidor pde DNA center, para administración global de todos los SW Cisco de GYE y UIO.</t>
  </si>
  <si>
    <t>192.168.59.229</t>
  </si>
  <si>
    <t>Ubuntu - OVA</t>
  </si>
  <si>
    <t>TVC-SRV-ELASTICSEARCH</t>
  </si>
  <si>
    <t xml:space="preserve">Servicio de syslog y experiencia de usuario de pandora </t>
  </si>
  <si>
    <t>192.168.59.25</t>
  </si>
  <si>
    <t>Rocky 8.7- OTR</t>
  </si>
  <si>
    <t>TVC-SRV-FLUENTD</t>
  </si>
  <si>
    <t>Servidor para centralizar todos los logs que se generan desde los microservicios y otros aplicativos. Se va a trabajar con el aplicativo  “Fluentd” como “data collector” para lo cual es necesario alojarlo en un servidor.</t>
  </si>
  <si>
    <t>192.168.59.86</t>
  </si>
  <si>
    <t>RedHat Enterprise Linux 9,4</t>
  </si>
  <si>
    <t>TVC-SRV-FORTIMAGANERGYE</t>
  </si>
  <si>
    <t xml:space="preserve">Servidor de FortiManager </t>
  </si>
  <si>
    <t>192.168.59.21</t>
  </si>
  <si>
    <t>FortiManager-VM64 v7.4.3-build2487 240514 (GA) - OTR</t>
  </si>
  <si>
    <t>TVC-SRV-FRONTCERT</t>
  </si>
  <si>
    <t>Para el nuevo portal de Ingreso de Contratos mismo que va a ser desarrollado por el proveedor NextGen (Ambiente PRODUCCION)</t>
  </si>
  <si>
    <t>192.168.59.26</t>
  </si>
  <si>
    <t>190.154.47.26</t>
  </si>
  <si>
    <t>SI REV</t>
  </si>
  <si>
    <t>TVC-SRV-FRONTCERTPROD</t>
  </si>
  <si>
    <t>Para el nuevo portal de Ingreso de Contratos para producción, desarrollado por Ricardo Rivera.</t>
  </si>
  <si>
    <t>192.168.59.80</t>
  </si>
  <si>
    <t>TVC-SRV-FRONTEND</t>
  </si>
  <si>
    <t>Servidor frontend para el nuevo desarrollo del  módulo de promociones que se integrara con Tytan.</t>
  </si>
  <si>
    <t>192.168.59.87</t>
  </si>
  <si>
    <t>59.12</t>
  </si>
  <si>
    <t>Mauricio Rodriguez/</t>
  </si>
  <si>
    <t>Red Hat Enterprise Linux 9,4</t>
  </si>
  <si>
    <t>Bajo</t>
  </si>
  <si>
    <t>Veeam Backup</t>
  </si>
  <si>
    <t>TVC-SRV-FRONTTEST</t>
  </si>
  <si>
    <t>Para desarrollo de los sistemas de contratos web, portal unificado y otros aplicativos internos.</t>
  </si>
  <si>
    <t>192.168.59.27</t>
  </si>
  <si>
    <t>Mauricio Rodriguez/Administardor de aplicaciones</t>
  </si>
  <si>
    <t>TVC-SRV-HAPROXY</t>
  </si>
  <si>
    <t>HA PROXY PRODUCCION de Middleware</t>
  </si>
  <si>
    <t>192.168.59.200</t>
  </si>
  <si>
    <t>Administrador de aplicaciones/Mauricio Rodriguez</t>
  </si>
  <si>
    <t>TVC-SRV-KIOSKOBACK</t>
  </si>
  <si>
    <t>SERVIDOR PARA KIOSKOS VIRTUALES - BACK</t>
  </si>
  <si>
    <t>192.168.59.194</t>
  </si>
  <si>
    <t>190.154.47.194</t>
  </si>
  <si>
    <t>TVC-SRV-KIOSKOFRONT</t>
  </si>
  <si>
    <t>SERVIDOR PARA KIOSKOS VIRTUALES - FRONT</t>
  </si>
  <si>
    <t>192.168.59.195</t>
  </si>
  <si>
    <t>190.154.47.195</t>
  </si>
  <si>
    <t>Veritas-FullFrid-Ret90_GYE_05</t>
  </si>
  <si>
    <t>TVC-SRV-KMS1</t>
  </si>
  <si>
    <t>192.168.59.230</t>
  </si>
  <si>
    <t>TVC-SRV-LANDINGPAGEbak</t>
  </si>
  <si>
    <t>Directorio: backend /backend.xtrim.com.ec en DNS interno</t>
  </si>
  <si>
    <t>192.168.59.90</t>
  </si>
  <si>
    <t>Administrador de aplicaciones/Mauricio Rodriguez-David Villamar</t>
  </si>
  <si>
    <t>TVC-SRV-LANDINGPAGEpro</t>
  </si>
  <si>
    <t>dominio: pagos.xtrim.com.ec  con seguridades mediante WAF /Directorio: pagos</t>
  </si>
  <si>
    <t>192.168.59.89</t>
  </si>
  <si>
    <t>200.63.213.91</t>
  </si>
  <si>
    <t>TVC-SRV-MALWAREGYE</t>
  </si>
  <si>
    <t>192.168.59.20</t>
  </si>
  <si>
    <t>20-100</t>
  </si>
  <si>
    <t>TVC-SRV-MEDIADORDACC</t>
  </si>
  <si>
    <t>Contiene el gestor de colas de Tv HFC, Ejecuta el envio de comandos de aprovisionamiento del servicio de Tv HFC con el DAC</t>
  </si>
  <si>
    <t>192.168.59.116</t>
  </si>
  <si>
    <t>Administrador de aplicaciones /Hector Miranda</t>
  </si>
  <si>
    <t>RedHat Enterprise Linux 8,6</t>
  </si>
  <si>
    <t>TVC-SRV-MONPROD</t>
  </si>
  <si>
    <t>Servidor Monitoreo Produccion.
1.	Base Datos Arcotel, contiene los registros de las acciones generadas por los incidentes reportados por Arcotel.
2.	Aplicaciones de QlikView, 
3.	Power Automate y robot para regularizar ingreso de contratos</t>
  </si>
  <si>
    <t>192.168.59.134</t>
  </si>
  <si>
    <t>Graciela Ortiz / Carlos Ayala / Christian Castillo/Jose Fernandez</t>
  </si>
  <si>
    <t>TVC-SRV-MOODLE</t>
  </si>
  <si>
    <t>Aulas Virtuales de Moodle, ofrece funciones como videoconferencias, pizarras, uso compartido de documentos y cuestionarios interactivos para mejorar la experiencia de aprendizaje de los alumnos.</t>
  </si>
  <si>
    <t>192.168.59.3</t>
  </si>
  <si>
    <t>Ubuntu Ubuntu 22.04 LTS (64-bit)</t>
  </si>
  <si>
    <t>Veritas-FullFrid-Ret90_GYE_07</t>
  </si>
  <si>
    <t>TVC-SRV-NESSUS</t>
  </si>
  <si>
    <t xml:space="preserve">Escanea  vulnerabilidades de servidores, servicios y aplicaciones. </t>
  </si>
  <si>
    <t>192.168.59.59</t>
  </si>
  <si>
    <t>Debian 12 - OTR</t>
  </si>
  <si>
    <t>tvc-srv-njbdps2</t>
  </si>
  <si>
    <t>192.168.59.173</t>
  </si>
  <si>
    <t>Hector Miranda /Administrador aplicaciones</t>
  </si>
  <si>
    <t>TVC-SRV-OOKLADAT</t>
  </si>
  <si>
    <t>Servidor de Ookla para analizar datos</t>
  </si>
  <si>
    <t>192.168.59.39</t>
  </si>
  <si>
    <t>Jorge Mendoza</t>
  </si>
  <si>
    <t>TVC-SRV-PANDORA</t>
  </si>
  <si>
    <t>Servidor de Monitrreo de Pandora FMS Enterprise</t>
  </si>
  <si>
    <t>192.168.59.114</t>
  </si>
  <si>
    <t>190.154.47.114</t>
  </si>
  <si>
    <t>TVC-SRV-PREDBAPI</t>
  </si>
  <si>
    <t>Base de datos del Middleware Mysql Preproducción API. (Se confirma con Mauricio)</t>
  </si>
  <si>
    <t>192.168.59.199</t>
  </si>
  <si>
    <t>TVC-SRV-PREHAPROXY</t>
  </si>
  <si>
    <t>HA PROXY  Y BASE DE DATOS. AMBIENTE DE PRE-PRODUCCION de Middleware (Se confirma con Mauricio)</t>
  </si>
  <si>
    <t>192.168.59.201</t>
  </si>
  <si>
    <t>TVC-SRV-PREWSO2API1</t>
  </si>
  <si>
    <t>Servidor WSO2 Api Manager para el Middleware (Se confirma con Mauricio)</t>
  </si>
  <si>
    <t>192.168.59.186</t>
  </si>
  <si>
    <t>Administrador de aplicaciones / Mauricio Rodriguez</t>
  </si>
  <si>
    <t>Ubuntu 20.04 LTS</t>
  </si>
  <si>
    <t>TVC-SRV-PREWSO2IDEN</t>
  </si>
  <si>
    <t>Servidor WSO2 Identity para el Middleware (Se confirma con Mauricio)</t>
  </si>
  <si>
    <t>192.168.59.187</t>
  </si>
  <si>
    <t>TVC-SRV-PREWSO2DB</t>
  </si>
  <si>
    <t>BD REDIS y para el Middleware (Se confirma con Mauricio)</t>
  </si>
  <si>
    <t>192.168.59.188</t>
  </si>
  <si>
    <t>TVC-SRV-PREWSO2NOD1</t>
  </si>
  <si>
    <t>Servidor WSO2 Nodos microservicios para el Middleware - Preproducción (Se confirma con Mauricio)</t>
  </si>
  <si>
    <t>192.168.59.189</t>
  </si>
  <si>
    <t>190.154.47.189</t>
  </si>
  <si>
    <t>TVC-SRV-PROD01</t>
  </si>
  <si>
    <t>Servidor de produccion, Desarrollo de aplicaciones, servidor de firmas</t>
  </si>
  <si>
    <t>192.168.59.115</t>
  </si>
  <si>
    <t>TVC-SRV-PROFILES</t>
  </si>
  <si>
    <t>Servidor de Perfiles Ambiente Citrix Cloud</t>
  </si>
  <si>
    <t>192.168.17.5</t>
  </si>
  <si>
    <t>TVC-SRV-PROXYVRT</t>
  </si>
  <si>
    <t>192.168.59.13</t>
  </si>
  <si>
    <t>TVC-SRV-RBT</t>
  </si>
  <si>
    <t>Servidor robot WhatsApp</t>
  </si>
  <si>
    <t>192.168.59.123</t>
  </si>
  <si>
    <t>190.154.47.15</t>
  </si>
  <si>
    <t>/Administrador de aplicaciones/Graciela Ortiz</t>
  </si>
  <si>
    <t>TVC-SRV-SALUD-MED</t>
  </si>
  <si>
    <t>Servidor que contiene la app de salud ocupacional</t>
  </si>
  <si>
    <t>192.168.59.126</t>
  </si>
  <si>
    <t>Administrador de aplicaciones/ Hector Miranda</t>
  </si>
  <si>
    <t>TVC-SRV-SFRONT1</t>
  </si>
  <si>
    <t>Servidor de StoreFront Citrix Primary</t>
  </si>
  <si>
    <t>192.168.59.227</t>
  </si>
  <si>
    <t>TVC-SRV-SSTEST</t>
  </si>
  <si>
    <t>Servidor SoftSwitch preproducción, y pruebas de conexiones a las entidades bancarias.</t>
  </si>
  <si>
    <t>192.168.59.231</t>
  </si>
  <si>
    <t>190.154.47.232</t>
  </si>
  <si>
    <t>Veritas-FullMon-SSTEST</t>
  </si>
  <si>
    <t>TVC-SRV-TVGUIA</t>
  </si>
  <si>
    <t>nuevo sitio de la revista Digital que está desarrollado en WordPress - TVGUIA</t>
  </si>
  <si>
    <t>192.168.59.175</t>
  </si>
  <si>
    <t>190.154.47.175</t>
  </si>
  <si>
    <t>Administrador de aplicaciones/Graciela Ortiz</t>
  </si>
  <si>
    <t>TVC-SRV-VISIONONE</t>
  </si>
  <si>
    <t xml:space="preserve">Colector de Logs del TrendMicro Vision One. que nos servira para conectar y recolectar informacion de los Directorios Activos, Firewalls entre otros. </t>
  </si>
  <si>
    <t>192.168.59.91</t>
  </si>
  <si>
    <t>JOSE FERNANDEZ</t>
  </si>
  <si>
    <t>OVA</t>
  </si>
  <si>
    <t>TVC-SRV-WSAPP</t>
  </si>
  <si>
    <t>Servidor de APIS para Chatbot de WHATSAPP (APIS antiguas)</t>
  </si>
  <si>
    <t>192.168.59.124</t>
  </si>
  <si>
    <t>190.154.47.14</t>
  </si>
  <si>
    <t>Administrador de aplicaciones /Graciela Ortiz</t>
  </si>
  <si>
    <t>TVC-SRV-WSO2API1</t>
  </si>
  <si>
    <t>Servidor WSO2 Api Manager para el Middleware Principal</t>
  </si>
  <si>
    <t>192.168.59.179</t>
  </si>
  <si>
    <t>Veritas-FullSun-Ret90_GYE_12</t>
  </si>
  <si>
    <t>TVC-SRV-WSO2API2</t>
  </si>
  <si>
    <t>Servidor WSO2 Api Manager para el Middleware Secundario</t>
  </si>
  <si>
    <t>192.168.59.180</t>
  </si>
  <si>
    <t>TVC-SRV-WSO2DB</t>
  </si>
  <si>
    <t>BD REDIS para el Middleware y MongoDB Zapping (xtrim_landing_change_plan
xtrim_landing_cobro
xtrim_landing_zapping
xtrim_ott
xtrim_tracking)</t>
  </si>
  <si>
    <t>192.168.59.182</t>
  </si>
  <si>
    <t>TVC-SRV-WSO2DB2</t>
  </si>
  <si>
    <t>BD REDIS para el Middleware y MongoDB Zapping - Replica</t>
  </si>
  <si>
    <t>192.168.59.183</t>
  </si>
  <si>
    <t>TVC-SRV-WSO2DBMIDD</t>
  </si>
  <si>
    <t>Base de datos del Middleware Mysql Producción - API1</t>
  </si>
  <si>
    <t>192.168.59.197</t>
  </si>
  <si>
    <t>TVC-SRV-WSO2DBMIDD2</t>
  </si>
  <si>
    <t>Base de datos del Middleware Mysql Producción - API 2</t>
  </si>
  <si>
    <t>192.168.59.198</t>
  </si>
  <si>
    <t>TVC-SRV-WSO2IDEN</t>
  </si>
  <si>
    <t>Servidor WSO2 Identity para el Middleware</t>
  </si>
  <si>
    <t>192.168.59.181</t>
  </si>
  <si>
    <t>Administrador de aplicaciones/Hector Miranda</t>
  </si>
  <si>
    <t>TVC-SRV-WSO2NOD1</t>
  </si>
  <si>
    <t>Servidor WSO2 Nodos microservicios para el Middleware - Producción</t>
  </si>
  <si>
    <t>192.168.59.184</t>
  </si>
  <si>
    <t>190.154.47.184</t>
  </si>
  <si>
    <t>TVC-SRV-WSO2NOD2</t>
  </si>
  <si>
    <t>192.168.59.185</t>
  </si>
  <si>
    <t>190.154.47.185</t>
  </si>
  <si>
    <t>TVC-SRV-XTRIMAD-01</t>
  </si>
  <si>
    <t>Servidor Active Directory Principal</t>
  </si>
  <si>
    <t>192.168.59.235</t>
  </si>
  <si>
    <t>TVC-SRV-XTRIMAD-02</t>
  </si>
  <si>
    <t>Servidor Active Directory Secundario</t>
  </si>
  <si>
    <t>192.168.59.234</t>
  </si>
  <si>
    <t>TVC-SRV-ZAPPINGDEV</t>
  </si>
  <si>
    <t>Servidor para el front del sitio en el ambiente de desarrollo de Zapping.</t>
  </si>
  <si>
    <t>192.168.59.147</t>
  </si>
  <si>
    <t>TVC-SRV-ZAPPINGPRO</t>
  </si>
  <si>
    <t>Servidor para el front del sitio en el ambiente de producción de Zapping.</t>
  </si>
  <si>
    <t>192.168.59.148</t>
  </si>
  <si>
    <t>TVC-SRVAPPCRM</t>
  </si>
  <si>
    <t>Aplicaciones de CRM, tareas programas..Estan  publicados unos aplicativos que son usados para el Callcenter,. ahi esta el gateway</t>
  </si>
  <si>
    <t>192.168.59.203</t>
  </si>
  <si>
    <t>Pendiente de consultar con Janine Madero /David Villamar</t>
  </si>
  <si>
    <t>TVC-SRVG-CTXFS2</t>
  </si>
  <si>
    <t>Servidor data usuarios</t>
  </si>
  <si>
    <t>192.168.59.233</t>
  </si>
  <si>
    <t>TVC-SRVG-CTXNS1</t>
  </si>
  <si>
    <t>Servidor de NetScaler principal</t>
  </si>
  <si>
    <t>192.168.9.223
192.168.59.212</t>
  </si>
  <si>
    <t>190.154.47.212</t>
  </si>
  <si>
    <t xml:space="preserve">Oracle Solaris 10 </t>
  </si>
  <si>
    <t>CONTRATO TECNOAV</t>
  </si>
  <si>
    <t>TVC-SRVLEXMARK</t>
  </si>
  <si>
    <t>Servidor de impresiones</t>
  </si>
  <si>
    <t>192.168.59.150</t>
  </si>
  <si>
    <t>TVC-SRVPAMGYE</t>
  </si>
  <si>
    <t>Servidor de PAM</t>
  </si>
  <si>
    <t>192.168.59.107</t>
  </si>
  <si>
    <t>TVC-SRVVEEAMBKP</t>
  </si>
  <si>
    <t>Consola Veeam Backup</t>
  </si>
  <si>
    <t>192.168.59.174</t>
  </si>
  <si>
    <t xml:space="preserve">
XTR-SRV-ANSIBLETEST</t>
  </si>
  <si>
    <t>TEMPLATE DE PRUEBA PARA ANSIBLE</t>
  </si>
  <si>
    <t>192.168.59.66</t>
  </si>
  <si>
    <t>XTR-SRV-BROKERPASM</t>
  </si>
  <si>
    <t>SERVIDOR PARA broker PASM secundario</t>
  </si>
  <si>
    <t>192.168.59.10</t>
  </si>
  <si>
    <t>Debian GNU/Linux 12</t>
  </si>
  <si>
    <t>XTR-SRV-DBINTRAXTRpro</t>
  </si>
  <si>
    <t>NUEVA INTRANET XTRIM</t>
  </si>
  <si>
    <t>192.168.59.98</t>
  </si>
  <si>
    <t>Harry Salvatierra / Miguel Brionez</t>
  </si>
  <si>
    <t>XTR-SRV-DELHARNESS</t>
  </si>
  <si>
    <t>Servidor que tendrá instalado el delegado de Harness que es un agente que va interactuar con la plataforma de CI/CD del mismo nombre, es la nueva herramienta que servirá para el despliegue automático de los desarrollos y el Integration Hub que vamos a construir para el proyecto del BSS (Invictus). usa dockers.</t>
  </si>
  <si>
    <t>192.168.59.92</t>
  </si>
  <si>
    <t>Red Hat Enterprise Linux 9.5</t>
  </si>
  <si>
    <t>XTR-SRV-LANDZAPPINGbak</t>
  </si>
  <si>
    <t>Landing el bakend de pagos para zapping</t>
  </si>
  <si>
    <t>192.168.59.93</t>
  </si>
  <si>
    <t>XTR-SRV-LANDZAPPINGbakrh</t>
  </si>
  <si>
    <t>Landing el bakend de pagos para zapping opcion 2</t>
  </si>
  <si>
    <t>192.168.59.95</t>
  </si>
  <si>
    <t>XTR-SRV-LANDZAPPINGpro</t>
  </si>
  <si>
    <t>Landing frontend  de pagos para zapping</t>
  </si>
  <si>
    <t>192.168.59.94</t>
  </si>
  <si>
    <t>XTR-SRV-N8NPRO</t>
  </si>
  <si>
    <t>n8n Servidor y Flujo de Reporte para Facturación </t>
  </si>
  <si>
    <t>192.168.59.14</t>
  </si>
  <si>
    <t>Darien Altamirano</t>
  </si>
  <si>
    <t>XTR-SRV-N8NDBPRO</t>
  </si>
  <si>
    <t>192.168.59.15</t>
  </si>
  <si>
    <t>XTR-SRV-VULNERABILIDADES</t>
  </si>
  <si>
    <t xml:space="preserve">será utilizado para una poc de un VM </t>
  </si>
  <si>
    <t>192.168.59.100</t>
  </si>
  <si>
    <t>XTR-SRV-PASMGYE</t>
  </si>
  <si>
    <t xml:space="preserve">Servidor para la POC del nuevo PAM, solicitado por seguridad. </t>
  </si>
  <si>
    <t>192.168.59.68</t>
  </si>
  <si>
    <t>XTR-SRV-PRODBACK</t>
  </si>
  <si>
    <t>celula de ventas BACKEND</t>
  </si>
  <si>
    <t>192.168.59.62</t>
  </si>
  <si>
    <t>Red Hat Enterprise Linux 9</t>
  </si>
  <si>
    <t>XTR-SRV-PRODFRONT</t>
  </si>
  <si>
    <t>celula de ventas FRONTEND</t>
  </si>
  <si>
    <t>192.168.59.61</t>
  </si>
  <si>
    <t>VEritas</t>
  </si>
  <si>
    <t>XTR-SRV-PLANTILLA2025</t>
  </si>
  <si>
    <t>Servidor plantilla para implementar las politicas de seguridad como mejoras.</t>
  </si>
  <si>
    <t>192.168.59.96</t>
  </si>
  <si>
    <t>XTR-SRV-SYNERGY</t>
  </si>
  <si>
    <t>Servidor para la Sonda de Manager Engine, para la mesa de servicio.</t>
  </si>
  <si>
    <t>192.168.59.81</t>
  </si>
  <si>
    <t>Ivonne Intriago</t>
  </si>
  <si>
    <t>XTR-SRV-RHLSATELITE</t>
  </si>
  <si>
    <t>192.168.59.67</t>
  </si>
  <si>
    <t>PowerEdge R710</t>
  </si>
  <si>
    <t>192.168.59.176</t>
  </si>
  <si>
    <t>8 CPUs x Intel(R) Xeon(R) CPU L5520 @ 2.27GHz. 16 GB RAM. CAPACIDAD 2TB</t>
  </si>
  <si>
    <t>TVC-SRV-WLC-CISCO</t>
  </si>
  <si>
    <t>Servidor OVA, que se subio para la configuración de los Access Point de Cisco.</t>
  </si>
  <si>
    <t>192.168.159.10</t>
  </si>
  <si>
    <t>Guillermo Jurado /Luis Conteron</t>
  </si>
  <si>
    <t>Otro. OVA</t>
  </si>
  <si>
    <t>VEEAM</t>
  </si>
  <si>
    <t>EV-APCISCO</t>
  </si>
  <si>
    <t>TVC-SRV-CONSGYEFLEX01</t>
  </si>
  <si>
    <t>VTAS0029709</t>
  </si>
  <si>
    <t>mgm: 192.168.90.21
ilo: 192.168.9.11</t>
  </si>
  <si>
    <t>TVC-SRV-CONSGYEFLEX01
Flex software version: 5.0.20
Firmware version: 2.0.0-32
Serial number: VTAS0029709
Primary internal storage:
9.09 TiB
Running instances:
3</t>
  </si>
  <si>
    <t>TVC-SRV-PRIMARYGYE</t>
  </si>
  <si>
    <t>192.168.91.14
192.168.90.12</t>
  </si>
  <si>
    <t xml:space="preserve"> NO</t>
  </si>
  <si>
    <t>262.75</t>
  </si>
  <si>
    <t>140,07 TiB.</t>
  </si>
  <si>
    <t>BINARIA</t>
  </si>
  <si>
    <t xml:space="preserve">Son contenedores del TVC-SRV-CONSGYEFLEX01, que es la plataforma de backup. </t>
  </si>
  <si>
    <t>TVC-SRV-WORMGYE</t>
  </si>
  <si>
    <t>192.168.91.11</t>
  </si>
  <si>
    <t>STORAGE VERITAS FLEX</t>
  </si>
  <si>
    <t>Caja de disco: 65,49 TiB.</t>
  </si>
  <si>
    <t>TVC-SRV-MEDIAGYE</t>
  </si>
  <si>
    <t>192.168.91.12</t>
  </si>
  <si>
    <t>IBM SYSTEM X3650</t>
  </si>
  <si>
    <t>9 GB RAM</t>
  </si>
  <si>
    <t>TVC-SRVELASTIX</t>
  </si>
  <si>
    <t>Central telefonica antigua</t>
  </si>
  <si>
    <t>192.168.13.253</t>
  </si>
  <si>
    <t xml:space="preserve"> 190.154.47.253</t>
  </si>
  <si>
    <t>CENTOS Release 5.9</t>
  </si>
  <si>
    <t>Equipo tiene Centos que ya no lo soporta la nueva versión de Veeam</t>
  </si>
  <si>
    <t>SUN FIRE X4275</t>
  </si>
  <si>
    <t>24 GB RAM
4 discos de 300 GB. Raid 1</t>
  </si>
  <si>
    <t>TVC-SRVWIFI</t>
  </si>
  <si>
    <t>Consola de discos Wifi ubiquiti</t>
  </si>
  <si>
    <t>192.168.5.200</t>
  </si>
  <si>
    <t>Microsoft Windows 10 Pro</t>
  </si>
  <si>
    <t>Veeam-FullWed-Ret90_GYE_08</t>
  </si>
  <si>
    <t>ODA x7-2m</t>
  </si>
  <si>
    <t>1914XD301R</t>
  </si>
  <si>
    <t>2x Intel® Xeon® Gold 6140 2.3 GHz, 18 cores, 140 watts, XCC, 24.75 MB L3 cache.
384 GB RAM (Se puede instalar 12 más de 32GB)
5 discos de 6.4 TB Raid 1
iLO 140.27.120.201</t>
  </si>
  <si>
    <t>Servidor RACK</t>
  </si>
  <si>
    <t>Oracle Database Appliance</t>
  </si>
  <si>
    <t>140.27.120.200</t>
  </si>
  <si>
    <t>Oracle</t>
  </si>
  <si>
    <t>ASIC</t>
  </si>
  <si>
    <t>Porque es una copia del ODA de UIO y porque tendriamos que respaldarlo por VEritas y no tenemos capacidad por licencia.</t>
  </si>
  <si>
    <t>96 GB RAM
4 discos de 300 GB. Raid 1</t>
  </si>
  <si>
    <t>Insight 2: 1. Gestion de llamadas, significa que desde el switch de telefonia, se descargan las llamadas realizadas por los clientes, las procesa y las envía al billing para que se an facturadas:, y 2 Aprovisionamiento de servicios, es el envío de comando apara activacion o desactivacion de servicios a los clientes.</t>
  </si>
  <si>
    <t>140.27.120.164</t>
  </si>
  <si>
    <t>axs</t>
  </si>
  <si>
    <t>Red Hat Enterprise Linux Server release 6.9</t>
  </si>
  <si>
    <t>Por tema de espacio no tenemos donde almacenar, pero se revisara porque ya tenemos otra NAS</t>
  </si>
  <si>
    <t>ANITVIRUS GYE</t>
  </si>
  <si>
    <t>Monitoreo</t>
  </si>
  <si>
    <t>SRV FISICOS TOTAL</t>
  </si>
  <si>
    <t>TOTAL VIRTUALES</t>
  </si>
  <si>
    <t>FISICOS TI MONI</t>
  </si>
  <si>
    <t>VIRTUALES TI GYE</t>
  </si>
  <si>
    <t>SRV TEC</t>
  </si>
  <si>
    <t>VIRTUALES TEC</t>
  </si>
  <si>
    <t>SRV TI</t>
  </si>
  <si>
    <t>NO SE PUEDE POR INCOMPATIBILIDAD O POR SER AUTONOMOS</t>
  </si>
  <si>
    <t>Asustor - AS6204R</t>
  </si>
  <si>
    <t>Respaldos QlikView y documentación de infraestructura NAC</t>
  </si>
  <si>
    <t>140.27.120.102</t>
  </si>
  <si>
    <t>10.82 TB</t>
  </si>
  <si>
    <t>RAID 5</t>
  </si>
  <si>
    <t>StorageWorks 2050</t>
  </si>
  <si>
    <t>Servidores HP Onboard C7000</t>
  </si>
  <si>
    <t>140.27.120.37</t>
  </si>
  <si>
    <t>34.8 TB</t>
  </si>
  <si>
    <t>StorageWorks 2040</t>
  </si>
  <si>
    <t>140.27.120.36</t>
  </si>
  <si>
    <t>StorageWorks 2000</t>
  </si>
  <si>
    <t>Servidores HP Onboard C3000</t>
  </si>
  <si>
    <t>192.168.9.100</t>
  </si>
  <si>
    <t>7.2 TB</t>
  </si>
  <si>
    <t>RAID 6, YA NO ESTA EN USO.</t>
  </si>
  <si>
    <t xml:space="preserve">Respaldos de hash bloqueados y respaldos de bases de datos </t>
  </si>
  <si>
    <t>140.27.120.101</t>
  </si>
  <si>
    <t>Storage RS-1221</t>
  </si>
  <si>
    <t>140.27.120.103 / 192.168.59.103</t>
  </si>
  <si>
    <t>28,8 TB</t>
  </si>
  <si>
    <t>Respaldos Veem Backup - offline</t>
  </si>
  <si>
    <t>192.168.59.104</t>
  </si>
  <si>
    <t>Lenovo</t>
  </si>
  <si>
    <t>Respaldos de usuarios/ QlikView/ Instaladores y herramientas</t>
  </si>
  <si>
    <t>11.14 TB</t>
  </si>
  <si>
    <t>SE QUEMO EL ADAPTADOR DE LA NAS</t>
  </si>
  <si>
    <t>INVENTARIO DE SERVIDORES VIRTUALIZADOS Y FISICOS GYE 2024</t>
  </si>
  <si>
    <t>Fecha de actualización: 25Julio2024</t>
  </si>
  <si>
    <t>GYE</t>
  </si>
  <si>
    <t>HP C3000</t>
  </si>
  <si>
    <t>192.168.0.121</t>
  </si>
  <si>
    <t>2 X Gen7 64 GB RAM</t>
  </si>
  <si>
    <t>192.168.0.122</t>
  </si>
  <si>
    <t>192.168.0.123</t>
  </si>
  <si>
    <t>C7000-VDI</t>
  </si>
  <si>
    <t>140.27.120.50</t>
  </si>
  <si>
    <t>140.27.120.49</t>
  </si>
  <si>
    <t>192.168.17.11</t>
  </si>
  <si>
    <t>TVC-SRV-CTXWN06</t>
  </si>
  <si>
    <t>Servidor de licencias RDS para Citrix.</t>
  </si>
  <si>
    <t>TVC-SRV-PROFILE</t>
  </si>
  <si>
    <t>TVC-SRV-SFRONT2</t>
  </si>
  <si>
    <t>Servidor de StoreFront Citrix Secundario</t>
  </si>
  <si>
    <t>192.168.59.228</t>
  </si>
  <si>
    <t>No se ejecuta porque, es un srv replicado del storefront2</t>
  </si>
  <si>
    <t>Yurema Tobar</t>
  </si>
  <si>
    <t>C7000-TI</t>
  </si>
  <si>
    <t>CZ3741XKMM</t>
  </si>
  <si>
    <t>140.27.120.51</t>
  </si>
  <si>
    <t>vREALIZE LCM APPLIANCE</t>
  </si>
  <si>
    <t>Se creo por default  una vez instalado el vmware.</t>
  </si>
  <si>
    <t>140.27.120.210</t>
  </si>
  <si>
    <t>Yurema Tobar / Guillermo Jurado</t>
  </si>
  <si>
    <t>Linux OTRO</t>
  </si>
  <si>
    <t>140.27.120.52</t>
  </si>
  <si>
    <t>PC-REMOTE</t>
  </si>
  <si>
    <t>Equipo para escritorio remoto para Xavier León</t>
  </si>
  <si>
    <t>192.168.17.6</t>
  </si>
  <si>
    <t>Xavier León</t>
  </si>
  <si>
    <t>Windows 11 PRO</t>
  </si>
  <si>
    <t>no</t>
  </si>
  <si>
    <t>CZ3741XKN5</t>
  </si>
  <si>
    <t>140.27.120.53</t>
  </si>
  <si>
    <t>TVC-SRV-DOCKQA</t>
  </si>
  <si>
    <t>SERVIDOR DE DOCKERS DE DESARROLLO, PARA EL AMBIENTE DE CONTROL DE CALIDAD. clonado del 59.189</t>
  </si>
  <si>
    <t>192.168.59.140</t>
  </si>
  <si>
    <t>TVC-SRV-DWTEST</t>
  </si>
  <si>
    <t>Prueba de DatawareHouse</t>
  </si>
  <si>
    <t>192.168.59.125</t>
  </si>
  <si>
    <t>TVC-SRV-FRONQA</t>
  </si>
  <si>
    <t>SERVIDOR FRONT END, PARA EL AMBIENTE DE CONTROL DE CALIDAD.</t>
  </si>
  <si>
    <t>192.168.59.142</t>
  </si>
  <si>
    <t xml:space="preserve">
TVC-SRV-HAPROXYQA</t>
  </si>
  <si>
    <t>SERVIDOR DE HAPROXY, PARA EL AMBIENTE DE CONTROL DE CALIDAD. clonado 59.200</t>
  </si>
  <si>
    <t>192.168.59.141</t>
  </si>
  <si>
    <t>TVC-SRV-HKTEST</t>
  </si>
  <si>
    <t>Servidor HIperK pruebas</t>
  </si>
  <si>
    <t>140.27.120.109</t>
  </si>
  <si>
    <t>Red Hat Enterprise Linux 6,9</t>
  </si>
  <si>
    <r>
      <rPr>
        <sz val="9"/>
        <color rgb="FFFF0000"/>
        <rFont val="Calibri"/>
        <family val="2"/>
        <scheme val="minor"/>
      </rPr>
      <t>Administrador de aplicaciones</t>
    </r>
    <r>
      <rPr>
        <sz val="9"/>
        <color rgb="FF444444"/>
        <rFont val="Calibri"/>
        <family val="2"/>
        <scheme val="minor"/>
      </rPr>
      <t xml:space="preserve"> / Mauricio Rodriguez / Carlos Ayala / Christian Castillo</t>
    </r>
  </si>
  <si>
    <t xml:space="preserve"> Carlos Ayala / Christian Castillo</t>
  </si>
  <si>
    <t xml:space="preserve"> 190.154.47.189</t>
  </si>
  <si>
    <t>TVC-SRV-WSO2DBQA</t>
  </si>
  <si>
    <t>BD REDIS para el Middleware y MongoDB Zapping, PARA AMBIENTE DE CONTROL DE CALIDAD.</t>
  </si>
  <si>
    <t>192.168.59.143</t>
  </si>
  <si>
    <t>Yurema Tobar/Mireya Iturralde</t>
  </si>
  <si>
    <t>CoreViewGYE</t>
  </si>
  <si>
    <t>Funcionalidad: Gestion de plataforma ARRIS</t>
  </si>
  <si>
    <t>192.168.87.60</t>
  </si>
  <si>
    <t>Jose Lopez / William Chenche</t>
  </si>
  <si>
    <t>DhcpGponGYE</t>
  </si>
  <si>
    <t>Funcionalidad: Servidor DHCP, para la plataforma GPON en R2 &amp; R3.</t>
  </si>
  <si>
    <t>192.168.1.200</t>
  </si>
  <si>
    <t>Christian Francis</t>
  </si>
  <si>
    <t>dnscorp2.satnet.net</t>
  </si>
  <si>
    <t xml:space="preserve">Funcionalidad: Servidor DNS decundario, clientes corporativos </t>
  </si>
  <si>
    <t>192.168.1.72</t>
  </si>
  <si>
    <t>dnsgpon2</t>
  </si>
  <si>
    <t>Funcionalidad: Servidor DNS recursivo, clientes residenciales HFC, GPON</t>
  </si>
  <si>
    <t>192.168.1.70</t>
  </si>
  <si>
    <t>dnsgpon4</t>
  </si>
  <si>
    <t>192.168.1.74</t>
  </si>
  <si>
    <t>dnssipgye.satnet.net</t>
  </si>
  <si>
    <t>Servidor de prueba para tecnología</t>
  </si>
  <si>
    <t>192.168.1.75</t>
  </si>
  <si>
    <t>ISPmonitorGYE</t>
  </si>
  <si>
    <t>Funcionalidad:Servidor de monitoreo de la red clientes.</t>
  </si>
  <si>
    <t>192.168.1.34</t>
  </si>
  <si>
    <t>Cesar Moreno</t>
  </si>
  <si>
    <t>ORION2</t>
  </si>
  <si>
    <t>Funcionalidad: Gestor de monitoreo
Descripción: Realiza el monitoreo de equipos de la red de XTRIM mediante snmp e icmp.</t>
  </si>
  <si>
    <t>192.168.87.6</t>
  </si>
  <si>
    <t>Mireya Anaguano / Cesar Moreno</t>
  </si>
  <si>
    <t>SocGYE</t>
  </si>
  <si>
    <t>Servidor del soc para colectar los logs de TEC</t>
  </si>
  <si>
    <t>192.168.1.20</t>
  </si>
  <si>
    <t>TVC-VCENTERCLOUD</t>
  </si>
  <si>
    <t>vcenter para el nuevo tipo de licenciamiento por suscripción de VMWare.</t>
  </si>
  <si>
    <t>192.168.59.17</t>
  </si>
  <si>
    <t>VMware Photon OS - OTR</t>
  </si>
  <si>
    <t>.200</t>
  </si>
  <si>
    <t>BASE DE DATOS DEL FSM</t>
  </si>
  <si>
    <t>RedHat Enterprise Linux 6.8</t>
  </si>
  <si>
    <t>Por tema de espacio</t>
  </si>
  <si>
    <t>Diana Loor</t>
  </si>
  <si>
    <t>192.168.9.31</t>
  </si>
  <si>
    <t>tvc-bss-cm-01</t>
  </si>
  <si>
    <r>
      <rPr>
        <sz val="9"/>
        <color rgb="FF444444"/>
        <rFont val="Calibri"/>
        <family val="2"/>
        <scheme val="minor"/>
      </rPr>
      <t>Alepo - Collection Manager, API GW/</t>
    </r>
    <r>
      <rPr>
        <b/>
        <sz val="9"/>
        <color rgb="FF444444"/>
        <rFont val="Calibri"/>
        <family val="2"/>
        <scheme val="minor"/>
      </rPr>
      <t xml:space="preserve"> con IP flotante 192.168.59.75  wso2.xtrim-app.com
</t>
    </r>
  </si>
  <si>
    <t>192.168.59.63</t>
  </si>
  <si>
    <t>ALEPO</t>
  </si>
  <si>
    <t>Veritas-FullMon-Ret90_GYE_10</t>
  </si>
  <si>
    <t>tvc-bss-cm-02</t>
  </si>
  <si>
    <t>Alepo - Collection Manager, API GW</t>
  </si>
  <si>
    <t>tvc-bss-crm-01</t>
  </si>
  <si>
    <r>
      <rPr>
        <sz val="9"/>
        <color rgb="FF444444"/>
        <rFont val="Calibri"/>
        <family val="2"/>
        <scheme val="minor"/>
      </rPr>
      <t>Alepo- CRM + Billing + Product catalogue + Inventory + Trouble Ticketing + Affiliate Management +  Off line rating /C</t>
    </r>
    <r>
      <rPr>
        <b/>
        <sz val="9"/>
        <color rgb="FF444444"/>
        <rFont val="Calibri"/>
        <family val="2"/>
        <scheme val="minor"/>
      </rPr>
      <t>on IP flotante 192.168.59.72 tiene alojada la pag reportes.xtrim-app.com</t>
    </r>
  </si>
  <si>
    <t>192.168.59.60</t>
  </si>
  <si>
    <t>tvc-bss-db-01</t>
  </si>
  <si>
    <t>Alepo - BSS Database - ambiente de producción</t>
  </si>
  <si>
    <t xml:space="preserve">Alepo </t>
  </si>
  <si>
    <t>MARIADB</t>
  </si>
  <si>
    <t>10.7.4</t>
  </si>
  <si>
    <t>tvc-bss-db-02_recovery</t>
  </si>
  <si>
    <t>tvc-bss-ffm-01</t>
  </si>
  <si>
    <r>
      <rPr>
        <sz val="9"/>
        <color rgb="FF444444"/>
        <rFont val="Calibri"/>
        <family val="2"/>
        <scheme val="minor"/>
      </rPr>
      <t>Alepo - FFM/</t>
    </r>
    <r>
      <rPr>
        <b/>
        <sz val="9"/>
        <color rgb="FF444444"/>
        <rFont val="Calibri"/>
        <family val="2"/>
        <scheme val="minor"/>
      </rPr>
      <t xml:space="preserve"> Con IP flotante 192.168.59.73 se tiene alojada la pag keycloak.xtrim-app.com</t>
    </r>
  </si>
  <si>
    <t>tvc-bss-inter-01</t>
  </si>
  <si>
    <t>192.168.59.65</t>
  </si>
  <si>
    <t>tvc-bss-mediation-01</t>
  </si>
  <si>
    <t>192.168.59.64</t>
  </si>
  <si>
    <t>Veritas-FullWed-Ret90_GYE_11</t>
  </si>
  <si>
    <t>tvc-bss-mon</t>
  </si>
  <si>
    <t>Alepo - Monitoring Tool</t>
  </si>
  <si>
    <t>tvc-bss-olap-serv</t>
  </si>
  <si>
    <r>
      <rPr>
        <sz val="9"/>
        <color rgb="FF444444"/>
        <rFont val="Calibri"/>
        <family val="2"/>
        <scheme val="minor"/>
      </rPr>
      <t xml:space="preserve">Alepo - Reporting Tool (OLAP)   </t>
    </r>
    <r>
      <rPr>
        <b/>
        <sz val="9"/>
        <color rgb="FF444444"/>
        <rFont val="Calibri"/>
        <family val="2"/>
        <scheme val="minor"/>
      </rPr>
      <t xml:space="preserve"> Se tiene alojada la pagina  reportes.xtrim-app.com</t>
    </r>
  </si>
  <si>
    <t>192.168.59.70</t>
  </si>
  <si>
    <t>tvc-bss-oms-01</t>
  </si>
  <si>
    <r>
      <rPr>
        <sz val="9"/>
        <color rgb="FF444444"/>
        <rFont val="Calibri"/>
        <family val="2"/>
        <scheme val="minor"/>
      </rPr>
      <t>Alepo - Order Management /</t>
    </r>
    <r>
      <rPr>
        <b/>
        <sz val="9"/>
        <color rgb="FF444444"/>
        <rFont val="Calibri"/>
        <family val="2"/>
        <scheme val="minor"/>
      </rPr>
      <t xml:space="preserve">Con IP flotante 192.168.59.78 se tiene alojada la pag oms.xtrim-app.com </t>
    </r>
  </si>
  <si>
    <t>tvc-bss-reporter-db</t>
  </si>
  <si>
    <t>Alepo - BSS Databases - ambiente de producción - y reporteria. 
Reporting DB (OLTP) + (Customer Data  for 6 Years) excluding CDR Storage</t>
  </si>
  <si>
    <t>192.168.59.71</t>
  </si>
  <si>
    <t>tvc-bss-stg</t>
  </si>
  <si>
    <t>Alepo - Staging – preproducción 
(Este está dedicado a un entorno de prueba)</t>
  </si>
  <si>
    <t>192.168.59.69</t>
  </si>
  <si>
    <t>190.154.47.69</t>
  </si>
  <si>
    <t>tvc-bss-wsrc-01</t>
  </si>
  <si>
    <t>TVC-SRV-ADIRGYE</t>
  </si>
  <si>
    <t>TVC-SRV-ADIRGYE2</t>
  </si>
  <si>
    <t>Christian Castillo / Carlos Ayala</t>
  </si>
  <si>
    <t>192.168.59.38</t>
  </si>
  <si>
    <t>APAHGAR</t>
  </si>
  <si>
    <t>Carlos Ayala / Christian Castillo / Hector Miranda</t>
  </si>
  <si>
    <t>Carlos Ayala / Christian Castillo / Yurema Tobar</t>
  </si>
  <si>
    <t>TODAVIA EL SERVIDOR NO PASA A PRODUCCIÓN</t>
  </si>
  <si>
    <t>TVC-SRV-MONGODB1</t>
  </si>
  <si>
    <t>CLUSTER DE MONGO DB COMO PRUEBA TEMPORAL</t>
  </si>
  <si>
    <t>192.168.59.144</t>
  </si>
  <si>
    <t xml:space="preserve">Christian Castillo </t>
  </si>
  <si>
    <t>TVC-SRV-MONGODB2</t>
  </si>
  <si>
    <t>192.168.59.145</t>
  </si>
  <si>
    <t>TVC-SRV-MONGODB3</t>
  </si>
  <si>
    <t>192.168.59.146</t>
  </si>
  <si>
    <t xml:space="preserve">TVC-SRV-MOODLE </t>
  </si>
  <si>
    <t>TVC-SRV-PLANTILLA-srv2019</t>
  </si>
  <si>
    <t xml:space="preserve">Plantilla </t>
  </si>
  <si>
    <t>Microsoft Windows Server 2019</t>
  </si>
  <si>
    <t>SERVIDOR DE PLANTILLA PARA WINDOWS</t>
  </si>
  <si>
    <t>TVC-SRV-PLANTILLA-srv2022</t>
  </si>
  <si>
    <t>TVC-SRV-REDHAT-LICENCIA</t>
  </si>
  <si>
    <t>Servidor para suscribir las licencias de red hat, del vcenter.</t>
  </si>
  <si>
    <t>192.168.59.85</t>
  </si>
  <si>
    <t>TVC-SRV-ROUTECLUS</t>
  </si>
  <si>
    <t>192.168.59.42</t>
  </si>
  <si>
    <t>Red Hat Enterprise Linux 9.3</t>
  </si>
  <si>
    <t>pendiente dar de baja</t>
  </si>
  <si>
    <t>TVC-SRV-SCCM</t>
  </si>
  <si>
    <t>Servidor de System Center Configuration Manager y Actualizaciones para los equipos</t>
  </si>
  <si>
    <t>192.168.59.196</t>
  </si>
  <si>
    <t>150
40</t>
  </si>
  <si>
    <t>TVC-SRV-SCCMGYE</t>
  </si>
  <si>
    <t>Servidor para el system center manager - WSUS</t>
  </si>
  <si>
    <t>192.168.59.28</t>
  </si>
  <si>
    <t>tvc-srv-vcgye</t>
  </si>
  <si>
    <t>vcenter para el simplivity GYE</t>
  </si>
  <si>
    <t>192.168.59.53</t>
  </si>
  <si>
    <t>Vmware Photon OS - OTRO</t>
  </si>
  <si>
    <t>TVC-SRV-VERITASFLEX</t>
  </si>
  <si>
    <t>BD REDIS para el Middleware y MongoDB Zapping</t>
  </si>
  <si>
    <t>Christian Castillo /Carlos Ayala</t>
  </si>
  <si>
    <t>Yurema Tobar/Mireya  Iturralde</t>
  </si>
  <si>
    <t>TVC-SRV-ZAPPINGSVA</t>
  </si>
  <si>
    <t>servidor completamente independiente para el front zappingsva.xtrim.com.ec</t>
  </si>
  <si>
    <t>192.168.59.172</t>
  </si>
  <si>
    <t>200.63.213.38</t>
  </si>
  <si>
    <t>AUN NO ESTA CONFIGURADO EN SU TOTALIDAD. ESTA REVISANDO DIANA</t>
  </si>
  <si>
    <t>Flex software version: 4.0.1
Firmware version: 2.0.0-30
Serial number: VTAS0029709
Primary internal storage:
9.09 TiB
Running instances:
3
Almacenamiento: 74.58 TiB.</t>
  </si>
  <si>
    <t>TVC-INSIGHT1</t>
  </si>
  <si>
    <t>Insight 1: 1. Gestion de llamadas, significa que desde el switch de telefonia, se descargan las llamadas realizadas por los clientes, las procesa y las envía al billing para que se an facturadas:, y 2 Aprovisionamiento de servicios, es el envío de comando apara activacion o desactivacion de servicios a los clientes.</t>
  </si>
  <si>
    <t>140.27.120.165</t>
  </si>
  <si>
    <t>TVC-INSIGHT2</t>
  </si>
  <si>
    <t>LOJ</t>
  </si>
  <si>
    <t>LENOVO SYSTEM 3250 M6</t>
  </si>
  <si>
    <t>16 GB RAM
3 discos de 600 GB. Raid 1</t>
  </si>
  <si>
    <t>TVC-SRVOOKLALOJA</t>
  </si>
  <si>
    <t>OOKLA MEDIDOR DE VELOCIDAD - LOJA, SE LO ENTREGO A TECNOLOGÍA.</t>
  </si>
  <si>
    <t>192.168.0.40</t>
  </si>
  <si>
    <t>186.69.240.225
2800:9a7:3090:1::5</t>
  </si>
  <si>
    <t>Yurema Tobar/ Mireya Iturralde</t>
  </si>
  <si>
    <t>El equipo, lo tenemos fuera de la nuestra red, no tenemos alcance a ese equipo.</t>
  </si>
  <si>
    <t>AGENTE DE WORKLOAD TREND MICRO GYE</t>
  </si>
  <si>
    <t>DESCRIPCIÓN</t>
  </si>
  <si>
    <t>TIPO DE LICENCIA</t>
  </si>
  <si>
    <t>CANTIDAD</t>
  </si>
  <si>
    <t>CONTRATO</t>
  </si>
  <si>
    <t>CADUCA</t>
  </si>
  <si>
    <t>LICENCIA PARA LOS 4 HOST DEL C7000 GYE</t>
  </si>
  <si>
    <t>DATACENTER</t>
  </si>
  <si>
    <t>LICENCIA PARA LOS 3 HOST DEL C7000 GYE - TEC</t>
  </si>
  <si>
    <t>DATACENTER PREIMUN</t>
  </si>
  <si>
    <t xml:space="preserve">	17020451</t>
  </si>
  <si>
    <t>NO RENOVAR, SE COMPRO EN MARZO 2024</t>
  </si>
  <si>
    <t>ProLiant DL380 Gen10</t>
  </si>
  <si>
    <t>NODO DEL SIMPLIVITY GYE</t>
  </si>
  <si>
    <t>UTIL PORQUE TENEMOS SRV VIRTUALES CON RED HAT</t>
  </si>
  <si>
    <t>192.168.94.37</t>
  </si>
  <si>
    <t>BLADE DEL C7000</t>
  </si>
  <si>
    <t>192..168.9.30</t>
  </si>
  <si>
    <t>192.168.94.38</t>
  </si>
  <si>
    <t>192.168.94.39</t>
  </si>
  <si>
    <t>LICENCIAS PARA HOSTS DEL C7000 - UIO TEC</t>
  </si>
  <si>
    <t>HOST AND VIRTUAL STANDARD</t>
  </si>
  <si>
    <t xml:space="preserve">
16810868</t>
  </si>
  <si>
    <t>ACTUALIZAR LA FECHA POR PARTE DE CONECTA</t>
  </si>
  <si>
    <t>LICENCIA PARA LOS 2 NODOS DEL SIMPLIVITY UIO</t>
  </si>
  <si>
    <t>tec-iway-db</t>
  </si>
  <si>
    <t>ProLiant DL380</t>
  </si>
  <si>
    <t>NODO DEL SIMPLIVITY UIO</t>
  </si>
  <si>
    <t xml:space="preserve"> tec-iway-db-backup</t>
  </si>
  <si>
    <t>DATACENTER - 9</t>
  </si>
  <si>
    <t>OBSERVACIÓN</t>
  </si>
  <si>
    <t>SIMPLIVITY GYE</t>
  </si>
  <si>
    <t>STAND ALONE GYE</t>
  </si>
  <si>
    <t>HOST AND VIRTUAL</t>
  </si>
  <si>
    <t>TOTAL DE LICENCIAS DATACENTER PREMIUM</t>
  </si>
  <si>
    <t>SIMPLIVITY UIO</t>
  </si>
  <si>
    <t>+ 2 Renovadas en Marzo</t>
  </si>
  <si>
    <t>NO ES NECESARIO</t>
  </si>
  <si>
    <t>C7000 GYE - VMWARE</t>
  </si>
  <si>
    <t>TOTAL DE LICENCIAS HOST AND VIRTUAL PREMIUM</t>
  </si>
  <si>
    <t>AUN UTILIZADA</t>
  </si>
  <si>
    <t>USADAS - consume 2</t>
  </si>
  <si>
    <t>ODA X8-2HA UIO</t>
  </si>
  <si>
    <t>VIRTUAL NODES - 7</t>
  </si>
  <si>
    <t>ODA X8-2HA</t>
  </si>
  <si>
    <t>DPS - 192.168.21.147</t>
  </si>
  <si>
    <t>NO PERMITE SUSCRIBIRLA</t>
  </si>
  <si>
    <t>TVC-INSIGHT1 - GYE</t>
  </si>
  <si>
    <t>INSIGHT - 192.168.31.200</t>
  </si>
  <si>
    <t>TVC-INSIGHT2 - GYE</t>
  </si>
  <si>
    <t>JBOSS - 192.168.21.175</t>
  </si>
  <si>
    <t>VIRTUAL NODES</t>
  </si>
  <si>
    <t>C7000 GYE - DB FLASH COPY</t>
  </si>
  <si>
    <t>INSIGHT - 192.168.31.190</t>
  </si>
  <si>
    <t>tvc-srv-dbfsm - Base Datos FSM</t>
  </si>
  <si>
    <t>LICENCIAS PARA HOSTS DEL C7000 - UIO</t>
  </si>
  <si>
    <t>tvc-srv-dbfin - Base de datops Iperk</t>
  </si>
  <si>
    <t>BL460 - C7000</t>
  </si>
  <si>
    <t>tvc-srv-nver - Comarch Revitalizacion</t>
  </si>
  <si>
    <t>Dataware House Aplicación</t>
  </si>
  <si>
    <t>ProLiant BL460c Gen8</t>
  </si>
  <si>
    <t>srv-esx-ti1</t>
  </si>
  <si>
    <t>BLADE DEL C7000 - TI</t>
  </si>
  <si>
    <t>ODA NODO 1</t>
  </si>
  <si>
    <t>srv-esx-ti2</t>
  </si>
  <si>
    <t>ODA NODO 2</t>
  </si>
  <si>
    <t>srv-esx-ti3</t>
  </si>
  <si>
    <t>tvc-srv-nver - Comarch Revitalizacion 21.146</t>
  </si>
  <si>
    <t>Servidor base de datos para Data WareHouse Nuevo - 192.168.21.238 - tvc-srv-bddw</t>
  </si>
  <si>
    <t>STAND ALONE UIO</t>
  </si>
  <si>
    <t>tvc-srv-dtwhapp - Dataware House Aplicación</t>
  </si>
  <si>
    <t>NO USADA - APAGADA</t>
  </si>
  <si>
    <t>TOTAL DE LICENCIAS DATACENTER STANDARD</t>
  </si>
  <si>
    <t>TOTAL DE LICENCIAS HOST AND VIRTUAL STANDARD (7), SI SE USA EN VIRTUAL SERIA 14 SOCKET DISPONIBLE</t>
  </si>
  <si>
    <t>Contract Number</t>
  </si>
  <si>
    <t>Subscription Number</t>
  </si>
  <si>
    <t>Product</t>
  </si>
  <si>
    <t>INICIA</t>
  </si>
  <si>
    <t>Red Hat Enterprise Linux for Virtual Datacenters, Standard</t>
  </si>
  <si>
    <t>Red Hat Enterprise Linux Server, Standard (Physical or Virtual Nodes)</t>
  </si>
  <si>
    <t>Red Hat Ansible Automation Platform, Standard (100 Managed Nodes)</t>
  </si>
  <si>
    <t>COVERED ITEM</t>
  </si>
  <si>
    <t>CLAVE DE LICENCIA</t>
  </si>
  <si>
    <t>HOST ASIGNADOS</t>
  </si>
  <si>
    <t>AIGNADO A</t>
  </si>
  <si>
    <t>NOMBRE DE LA LICENCIA EN VCENTER</t>
  </si>
  <si>
    <t>End Date</t>
  </si>
  <si>
    <t>FECHA DEL CONTRATO</t>
  </si>
  <si>
    <t>VMware vSphere 7 Standard for 1 processor</t>
  </si>
  <si>
    <t>N4010-8MJ96-K8CGX-0638H-1N90M</t>
  </si>
  <si>
    <r>
      <rPr>
        <b/>
        <sz val="9"/>
        <color rgb="FF000000"/>
        <rFont val="Calibri"/>
      </rPr>
      <t xml:space="preserve">tvc-nodo1gye.grupotvcable.com
tvc-nodo3gye.grupotvcable.com
tvc-nodo4gye.grupotvcable.com
</t>
    </r>
    <r>
      <rPr>
        <b/>
        <sz val="9"/>
        <color rgb="FFFF0000"/>
        <rFont val="Calibri"/>
      </rPr>
      <t>140.27.120.49
140.27.120.50
140.27.120.51
140.27.120.52
140.27.120.53</t>
    </r>
  </si>
  <si>
    <t>SIMPLIVITY GYE
Y
C7000 - GYE</t>
  </si>
  <si>
    <t xml:space="preserve"> License 1 (493309718)</t>
  </si>
  <si>
    <t>VMware vSphere 6 Standard</t>
  </si>
  <si>
    <t>1J6C1-FW386-U8P8A-0930M-1NN0N</t>
  </si>
  <si>
    <t>C7000 - UIO TI</t>
  </si>
  <si>
    <t>License 6 (4100161721)</t>
  </si>
  <si>
    <t>REVISARLAS CON GUILLE</t>
  </si>
  <si>
    <t>VMware vCenter Server 7 Standard for vSphere 7 (Per Instance)</t>
  </si>
  <si>
    <t>1501J-69087-58JG2-010AP-C8MQH</t>
  </si>
  <si>
    <t>vCenter Server 7 Standard - UIO 192.168.21.9</t>
  </si>
  <si>
    <t>VCENTER UIO</t>
  </si>
  <si>
    <t>License 7 VCENTERUIO(42551574)</t>
  </si>
  <si>
    <t>1J2AL-FW3D6-U8Q82-0ACAH-185KJ</t>
  </si>
  <si>
    <t>192.168.34.120</t>
  </si>
  <si>
    <t>License 5 (4100161721)</t>
  </si>
  <si>
    <t>VSPHERE 6 STANDARD FOR 1 PROCESSOR</t>
  </si>
  <si>
    <t>MN01K-8ML46-683GN-0UCAM-10CKM</t>
  </si>
  <si>
    <t>tvc-srv-esx3.grupotvcable.com
tvc-srv-esx4.grupotvcable.com
tvc-nodo2gye.grupotvcable.com</t>
  </si>
  <si>
    <t>SIMPLIVITY - UIO</t>
  </si>
  <si>
    <t xml:space="preserve"> License 8 (4102347659)</t>
  </si>
  <si>
    <t>vSphere 7 Standard</t>
  </si>
  <si>
    <t>MH20J-6MJDH-J8KGJ-0T826-1TP4H</t>
  </si>
  <si>
    <t>tvc-srv-esx1.grupotvcable.com
tvc-srv-esx2.grupotvcable.com</t>
  </si>
  <si>
    <t>SIMPLIVITY - UIO  Y GYE</t>
  </si>
  <si>
    <t>License 2 (4126837669)</t>
  </si>
  <si>
    <t>5M6A3-AWJ4M-U8Q83-0UCRK-8W50J</t>
  </si>
  <si>
    <t>License 9 (472912554)</t>
  </si>
  <si>
    <t>55420-FWK16-F8D8X-0UA20-1802J</t>
  </si>
  <si>
    <t>192.168.34.11
192.168.34.12
192.168.34.13</t>
  </si>
  <si>
    <t>C7000 - UIO TEC</t>
  </si>
  <si>
    <t>License 3 (4137718595)</t>
  </si>
  <si>
    <t>vCenter Server 7 Standard</t>
  </si>
  <si>
    <t>14490-A914P-28VG2-0V8KP-3M635</t>
  </si>
  <si>
    <t>vCenter Server 7 Standard - GYE 192.168.59.130</t>
  </si>
  <si>
    <t>VCENTER GYE</t>
  </si>
  <si>
    <t>License 4 VCENTERGYE(472912554)</t>
  </si>
  <si>
    <t xml:space="preserve"> vCenter vsphere 8 Standard- Suscripción</t>
  </si>
  <si>
    <t xml:space="preserve"> WJ49M-8CKD2-588N9-015A4-3RK70</t>
  </si>
  <si>
    <t>TVC-SRV-VCENTERCLOUD - GYE 192.168.59.17</t>
  </si>
  <si>
    <t>License 10 vcenter (26179750)</t>
  </si>
  <si>
    <t>EXPIRADA</t>
  </si>
  <si>
    <t xml:space="preserve"> vCenter Server 8 Standard- Suscripción</t>
  </si>
  <si>
    <t>W468M-2009K-J89P8-0JE04-3D0L0</t>
  </si>
  <si>
    <t>srv-esx-tec1 - 192.168.94.41
srv-esx-tec2 - 192.168.94.42
srv-esx-tec3 - 192.168.94.43</t>
  </si>
  <si>
    <t>BLADE C7000 - TEC</t>
  </si>
  <si>
    <t>License 11 (26179750)</t>
  </si>
  <si>
    <t>PLATAFORMA</t>
  </si>
  <si>
    <t>LICENCIA POR CONTRATO</t>
  </si>
  <si>
    <t>HOST</t>
  </si>
  <si>
    <t>SOCKET</t>
  </si>
  <si>
    <t>NUCLEO DE PROCESADOR DE DOCKET</t>
  </si>
  <si>
    <t>CORE VIRTUAL (SOCKET X NUCLEO)</t>
  </si>
  <si>
    <t>LOGICO PROCESADOR</t>
  </si>
  <si>
    <t>CORE FISICO</t>
  </si>
  <si>
    <t>PROCESADOR CONTRATADO</t>
  </si>
  <si>
    <t>tvc-nodo1gye.grupotvcable.com</t>
  </si>
  <si>
    <t>tvc-nodo2gye.grupotvcable.com</t>
  </si>
  <si>
    <t>tvc-nodo3gye.grupotvcable.com</t>
  </si>
  <si>
    <t>tvc-nodo4gye.grupotvcable.com</t>
  </si>
  <si>
    <t>tvc-srv-esx1.grupotvcable.com</t>
  </si>
  <si>
    <t>tvc-srv-esx2.grupotvcable.com</t>
  </si>
  <si>
    <t>tvc-srv-esx3.grupotvcable.com</t>
  </si>
  <si>
    <t>tvc-srv-esx4.grupotvcable.com</t>
  </si>
  <si>
    <t>C7000 - TI GYE</t>
  </si>
  <si>
    <t xml:space="preserve"> SRV-ESX-TI1</t>
  </si>
  <si>
    <t xml:space="preserve"> SRV-ESX-TI2</t>
  </si>
  <si>
    <t>VCENTER</t>
  </si>
  <si>
    <t xml:space="preserve"> License 4 VCENTERGYE(472912554)</t>
  </si>
  <si>
    <t>VCENTERUIO</t>
  </si>
  <si>
    <t>License 7 VCENTERUIO (42551574)</t>
  </si>
  <si>
    <t>TOTAL</t>
  </si>
  <si>
    <t>QUITO</t>
  </si>
  <si>
    <t>Total SRV Fisicos</t>
  </si>
  <si>
    <t>Total SRV Virtuales</t>
  </si>
  <si>
    <t>Total Servidores</t>
  </si>
  <si>
    <t>GUAYAQUIL</t>
  </si>
  <si>
    <t>NAC</t>
  </si>
  <si>
    <t>FISICO NAC</t>
  </si>
  <si>
    <t>VIRTUAL NAC</t>
  </si>
  <si>
    <t>TOTAL SRV NAC</t>
  </si>
  <si>
    <t>SISTEMAS CRITICOS NIVEL ALTO A NIVEL NACIONAL</t>
  </si>
  <si>
    <t>SRV VIRTUAL</t>
  </si>
  <si>
    <t>CAPACIDAD - SRV VIRTUAL</t>
  </si>
  <si>
    <t>SRV FISICO</t>
  </si>
  <si>
    <t>CAPACIDAD - SRV FISICO</t>
  </si>
  <si>
    <t>SISTEMAS CRITICOS NIVEL MEDIO A NIVEL NACIONAL</t>
  </si>
  <si>
    <t>SISTEMAS CRITICOS NIVEL BAJO A NIVEL NACIONAL</t>
  </si>
  <si>
    <t>SISTEMAS CRITICOS NIVEL DAR DE BAJA A NIVEL NACIONAL</t>
  </si>
  <si>
    <t>SERVIDORES A NIVEL NACIONAL</t>
  </si>
  <si>
    <t>SOPORTE TERCEROS</t>
  </si>
  <si>
    <t>tecnoav,comware,asic</t>
  </si>
  <si>
    <t>costo soporte terceros</t>
  </si>
  <si>
    <t>USD</t>
  </si>
  <si>
    <t>SRV MICROSOFT</t>
  </si>
  <si>
    <t>SRV RED HAT- SIMPLIVTY</t>
  </si>
  <si>
    <t>SRV DE DISTRIBUCION LINUX - SIMPLIVITY</t>
  </si>
  <si>
    <t>SR DEL SIMPLVITY</t>
  </si>
  <si>
    <t>TOTAL DE SRV MICROSOFT</t>
  </si>
  <si>
    <t>TOTAL DE SRV RED HAT</t>
  </si>
  <si>
    <t>SERVIDOR DEL SIMPLIVITY NAC</t>
  </si>
  <si>
    <t>TOTAL DE SRV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</si>
</sst>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1"/>
      <color theme="1"/>
      <name val="Calibri"/>
      <family val="2"/>
      <scheme val="minor"/>
    </font>
    <font>
      <b/>
      <sz val="11"/>
      <color theme="1"/>
      <name val="Calibri"/>
      <family val="2"/>
      <scheme val="minor"/>
    </font>
    <font>
      <sz val="9"/>
      <color rgb="FF444444"/>
      <name val="Calibri"/>
      <family val="2"/>
      <scheme val="minor"/>
    </font>
    <font>
      <sz val="10"/>
      <name val="Calibri"/>
      <family val="2"/>
      <scheme val="minor"/>
    </font>
    <font>
      <sz val="10"/>
      <color rgb="FF000000"/>
      <name val="Calibri"/>
      <family val="2"/>
    </font>
    <font>
      <sz val="10"/>
      <name val="Calibri"/>
      <family val="2"/>
    </font>
    <font>
      <b/>
      <sz val="12"/>
      <color rgb="FF000000"/>
      <name val="Calibri"/>
      <family val="2"/>
    </font>
    <font>
      <sz val="11"/>
      <color rgb="FF000000"/>
      <name val="Calibri"/>
      <family val="2"/>
    </font>
    <font>
      <sz val="11"/>
      <name val="Calibri"/>
      <family val="2"/>
    </font>
    <font>
      <b/>
      <sz val="11"/>
      <color rgb="FF000000"/>
      <name val="Calibri"/>
      <family val="2"/>
    </font>
    <font>
      <b/>
      <sz val="16"/>
      <color theme="1"/>
      <name val="Calibri"/>
      <family val="2"/>
      <scheme val="minor"/>
    </font>
    <font>
      <b/>
      <sz val="8"/>
      <color rgb="FF000000"/>
      <name val="Calibri"/>
      <family val="2"/>
    </font>
    <font>
      <sz val="9"/>
      <color rgb="FF444444"/>
      <name val="Calibri"/>
      <family val="2"/>
    </font>
    <font>
      <b/>
      <sz val="10"/>
      <name val="Calibri"/>
      <family val="2"/>
      <scheme val="minor"/>
    </font>
    <font>
      <b/>
      <sz val="9"/>
      <color rgb="FF444444"/>
      <name val="Calibri"/>
      <family val="2"/>
      <scheme val="minor"/>
    </font>
    <font>
      <sz val="11"/>
      <color rgb="FF000000"/>
      <name val="Calibri"/>
      <family val="2"/>
      <scheme val="minor"/>
    </font>
    <font>
      <b/>
      <sz val="11"/>
      <color rgb="FF000000"/>
      <name val="Calibri"/>
      <family val="2"/>
      <scheme val="minor"/>
    </font>
    <font>
      <b/>
      <sz val="9"/>
      <color rgb="FF000000"/>
      <name val="Calibri"/>
      <family val="2"/>
      <scheme val="minor"/>
    </font>
    <font>
      <sz val="9"/>
      <color rgb="FF000000"/>
      <name val="Calibri"/>
      <family val="2"/>
      <scheme val="minor"/>
    </font>
    <font>
      <sz val="10"/>
      <color theme="1"/>
      <name val="Calibri"/>
      <family val="2"/>
      <scheme val="minor"/>
    </font>
    <font>
      <sz val="8"/>
      <color theme="1"/>
      <name val="Calibri"/>
      <family val="2"/>
      <scheme val="minor"/>
    </font>
    <font>
      <sz val="8"/>
      <color rgb="FF000000"/>
      <name val="Calibri"/>
      <family val="2"/>
      <scheme val="minor"/>
    </font>
    <font>
      <u/>
      <sz val="11"/>
      <color theme="10"/>
      <name val="Calibri"/>
      <family val="2"/>
      <scheme val="minor"/>
    </font>
    <font>
      <b/>
      <sz val="11"/>
      <color rgb="FFFF0000"/>
      <name val="Calibri"/>
      <family val="2"/>
      <scheme val="minor"/>
    </font>
    <font>
      <b/>
      <sz val="11"/>
      <color theme="0"/>
      <name val="Calibri"/>
      <family val="2"/>
    </font>
    <font>
      <sz val="9"/>
      <color theme="1"/>
      <name val="Calibri"/>
      <family val="2"/>
      <scheme val="minor"/>
    </font>
    <font>
      <sz val="12"/>
      <color rgb="FF000000"/>
      <name val="Calibri"/>
      <family val="2"/>
    </font>
    <font>
      <b/>
      <sz val="12"/>
      <color theme="1"/>
      <name val="Calibri"/>
      <family val="2"/>
      <scheme val="minor"/>
    </font>
    <font>
      <sz val="12"/>
      <name val="Calibri"/>
      <family val="2"/>
    </font>
    <font>
      <sz val="12"/>
      <color theme="1"/>
      <name val="Calibri"/>
      <family val="2"/>
      <scheme val="minor"/>
    </font>
    <font>
      <sz val="12"/>
      <color theme="1"/>
      <name val="Calibri"/>
      <family val="2"/>
      <charset val="1"/>
    </font>
    <font>
      <u/>
      <sz val="12"/>
      <color theme="10"/>
      <name val="Calibri"/>
      <family val="2"/>
      <scheme val="minor"/>
    </font>
    <font>
      <sz val="11"/>
      <color rgb="FF1F497D"/>
      <name val="Calibri"/>
      <family val="2"/>
    </font>
    <font>
      <b/>
      <sz val="12"/>
      <name val="Calibri"/>
      <family val="2"/>
    </font>
    <font>
      <b/>
      <sz val="12"/>
      <color theme="0"/>
      <name val="Calibri"/>
      <family val="2"/>
    </font>
    <font>
      <b/>
      <sz val="9"/>
      <color rgb="FFFF0000"/>
      <name val="Calibri"/>
      <family val="2"/>
      <scheme val="minor"/>
    </font>
    <font>
      <sz val="11"/>
      <color theme="1"/>
      <name val="Times New Roman"/>
      <family val="1"/>
      <charset val="1"/>
    </font>
    <font>
      <sz val="11"/>
      <color rgb="FF444444"/>
      <name val="Aptos Narrow"/>
      <family val="2"/>
    </font>
    <font>
      <sz val="9"/>
      <color rgb="FFFF0000"/>
      <name val="Calibri"/>
      <family val="2"/>
      <scheme val="minor"/>
    </font>
    <font>
      <sz val="11"/>
      <color rgb="FFFF0000"/>
      <name val="Calibri"/>
      <family val="2"/>
      <scheme val="minor"/>
    </font>
    <font>
      <sz val="10"/>
      <color rgb="FFFF0000"/>
      <name val="Calibri"/>
      <family val="2"/>
      <scheme val="minor"/>
    </font>
    <font>
      <sz val="12"/>
      <color rgb="FFFF0000"/>
      <name val="Calibri"/>
      <family val="2"/>
    </font>
    <font>
      <sz val="12"/>
      <color theme="1" tint="4.9989318521683403E-2"/>
      <name val="Calibri"/>
      <family val="2"/>
    </font>
    <font>
      <b/>
      <sz val="14"/>
      <color theme="1"/>
      <name val="Calibri"/>
      <family val="2"/>
      <scheme val="minor"/>
    </font>
    <font>
      <b/>
      <sz val="18"/>
      <color theme="1"/>
      <name val="Calibri"/>
      <family val="2"/>
      <scheme val="minor"/>
    </font>
    <font>
      <b/>
      <sz val="20"/>
      <color theme="1"/>
      <name val="Calibri"/>
      <family val="2"/>
      <scheme val="minor"/>
    </font>
    <font>
      <b/>
      <sz val="36"/>
      <color theme="1"/>
      <name val="Calibri"/>
      <family val="2"/>
      <scheme val="minor"/>
    </font>
    <font>
      <b/>
      <sz val="14"/>
      <color rgb="FF000000"/>
      <name val="Calibri"/>
      <family val="2"/>
    </font>
    <font>
      <b/>
      <sz val="20"/>
      <color rgb="FF444444"/>
      <name val="Calibri"/>
      <family val="2"/>
      <scheme val="minor"/>
    </font>
    <font>
      <sz val="11"/>
      <color rgb="FF444444"/>
      <name val="Calibri"/>
      <family val="2"/>
    </font>
    <font>
      <sz val="11"/>
      <color rgb="FFFF0000"/>
      <name val="Calibri"/>
      <family val="2"/>
    </font>
    <font>
      <sz val="11"/>
      <color theme="1" tint="4.9989318521683403E-2"/>
      <name val="Calibri"/>
      <family val="2"/>
    </font>
    <font>
      <sz val="11"/>
      <color theme="1"/>
      <name val="Calibri"/>
      <family val="2"/>
      <charset val="1"/>
    </font>
    <font>
      <b/>
      <sz val="36"/>
      <color rgb="FF444444"/>
      <name val="Calibri"/>
      <family val="2"/>
    </font>
    <font>
      <b/>
      <sz val="20"/>
      <color rgb="FF000000"/>
      <name val="Calibri"/>
      <family val="2"/>
    </font>
    <font>
      <b/>
      <sz val="20"/>
      <color rgb="FF444444"/>
      <name val="Calibri"/>
      <family val="2"/>
    </font>
    <font>
      <b/>
      <sz val="18"/>
      <color rgb="FF000000"/>
      <name val="Calibri"/>
      <family val="2"/>
    </font>
    <font>
      <sz val="36"/>
      <color rgb="FF000000"/>
      <name val="Calibri"/>
      <family val="2"/>
    </font>
    <font>
      <b/>
      <sz val="12"/>
      <color rgb="FF000000"/>
      <name val="Calibri"/>
      <family val="2"/>
      <scheme val="minor"/>
    </font>
    <font>
      <sz val="12"/>
      <color rgb="FF444444"/>
      <name val="Calibri"/>
      <family val="2"/>
      <scheme val="minor"/>
    </font>
    <font>
      <sz val="12"/>
      <color rgb="FF000000"/>
      <name val="Calibri"/>
      <family val="2"/>
      <scheme val="minor"/>
    </font>
    <font>
      <sz val="12"/>
      <name val="Calibri"/>
      <family val="2"/>
      <scheme val="minor"/>
    </font>
    <font>
      <sz val="11"/>
      <name val="Arial"/>
      <family val="2"/>
    </font>
    <font>
      <sz val="11"/>
      <color rgb="FF000000"/>
      <name val="Arial"/>
      <family val="2"/>
    </font>
    <font>
      <b/>
      <sz val="36"/>
      <color rgb="FF000000"/>
      <name val="Calibri"/>
      <family val="2"/>
    </font>
    <font>
      <sz val="11"/>
      <color theme="1"/>
      <name val="Calibri"/>
      <family val="2"/>
    </font>
    <font>
      <sz val="11"/>
      <color rgb="FF444444"/>
      <name val="Calibri"/>
      <family val="2"/>
      <scheme val="minor"/>
    </font>
    <font>
      <sz val="12"/>
      <color rgb="FFFF0000"/>
      <name val="Calibri"/>
      <family val="2"/>
      <scheme val="minor"/>
    </font>
    <font>
      <b/>
      <sz val="11"/>
      <color rgb="FF000000"/>
      <name val="Calibri"/>
    </font>
    <font>
      <sz val="11"/>
      <color rgb="FF000000"/>
      <name val="Calibri"/>
    </font>
    <font>
      <b/>
      <sz val="14"/>
      <color rgb="FF000000"/>
      <name val="Calibri"/>
    </font>
    <font>
      <sz val="11"/>
      <color rgb="FF000000"/>
      <name val="Calibri"/>
      <charset val="1"/>
    </font>
    <font>
      <sz val="11"/>
      <name val="Arial"/>
      <charset val="134"/>
    </font>
    <font>
      <b/>
      <sz val="11"/>
      <name val="Calibri"/>
      <family val="2"/>
    </font>
    <font>
      <b/>
      <sz val="11"/>
      <color rgb="FFFFFFFF"/>
      <name val="Calibri"/>
      <family val="2"/>
    </font>
    <font>
      <b/>
      <sz val="9"/>
      <name val="Calibri"/>
      <family val="2"/>
    </font>
    <font>
      <b/>
      <sz val="9"/>
      <color rgb="FFFFFFFF"/>
      <name val="Calibri"/>
      <family val="2"/>
    </font>
    <font>
      <b/>
      <sz val="9"/>
      <color rgb="FFFF0000"/>
      <name val="Calibri"/>
      <family val="2"/>
    </font>
    <font>
      <b/>
      <sz val="11"/>
      <color rgb="FF0070C0"/>
      <name val="Calibri"/>
      <family val="2"/>
    </font>
    <font>
      <b/>
      <sz val="9"/>
      <color theme="0"/>
      <name val="Calibri"/>
      <family val="2"/>
    </font>
    <font>
      <b/>
      <sz val="9"/>
      <color rgb="FF000000"/>
      <name val="Calibri"/>
    </font>
    <font>
      <b/>
      <sz val="9"/>
      <color rgb="FFFF0000"/>
      <name val="Calibri"/>
    </font>
    <font>
      <b/>
      <sz val="9"/>
      <name val="Calibri"/>
    </font>
    <font>
      <b/>
      <sz val="9"/>
      <color rgb="FF000000"/>
      <name val="Calibri"/>
      <family val="2"/>
    </font>
    <font>
      <sz val="11"/>
      <color rgb="FF242424"/>
      <name val="Aptos Narrow"/>
      <charset val="1"/>
    </font>
    <font>
      <sz val="11"/>
      <color rgb="FF2D4048"/>
      <name val="Calibri"/>
      <scheme val="minor"/>
    </font>
    <font>
      <b/>
      <sz val="16"/>
      <color rgb="FF000000"/>
      <name val="Calibri"/>
      <family val="2"/>
    </font>
  </fonts>
  <fills count="40">
    <fill>
      <patternFill patternType="none"/>
    </fill>
    <fill>
      <patternFill patternType="gray125"/>
    </fill>
    <fill>
      <patternFill patternType="solid">
        <fgColor rgb="FFFFFFFF"/>
        <bgColor rgb="FF000000"/>
      </patternFill>
    </fill>
    <fill>
      <patternFill patternType="solid">
        <fgColor theme="0" tint="-0.14999847407452621"/>
        <bgColor indexed="64"/>
      </patternFill>
    </fill>
    <fill>
      <patternFill patternType="solid">
        <fgColor theme="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92D050"/>
        <bgColor rgb="FF000000"/>
      </patternFill>
    </fill>
    <fill>
      <patternFill patternType="solid">
        <fgColor rgb="FFFFFFFF"/>
        <bgColor indexed="64"/>
      </patternFill>
    </fill>
    <fill>
      <patternFill patternType="solid">
        <fgColor rgb="FFA9D08E"/>
        <bgColor rgb="FF000000"/>
      </patternFill>
    </fill>
    <fill>
      <patternFill patternType="solid">
        <fgColor rgb="FFF2F2F2"/>
        <bgColor indexed="64"/>
      </patternFill>
    </fill>
    <fill>
      <patternFill patternType="solid">
        <fgColor rgb="FF00B32A"/>
        <bgColor indexed="64"/>
      </patternFill>
    </fill>
    <fill>
      <patternFill patternType="solid">
        <fgColor rgb="FFFF0000"/>
        <bgColor indexed="64"/>
      </patternFill>
    </fill>
    <fill>
      <patternFill patternType="solid">
        <fgColor rgb="FFF57C2C"/>
        <bgColor indexed="64"/>
      </patternFill>
    </fill>
    <fill>
      <patternFill patternType="solid">
        <fgColor rgb="FFFFFF00"/>
        <bgColor indexed="64"/>
      </patternFill>
    </fill>
    <fill>
      <patternFill patternType="solid">
        <fgColor rgb="FFFFE699"/>
        <bgColor rgb="FF000000"/>
      </patternFill>
    </fill>
    <fill>
      <patternFill patternType="solid">
        <fgColor theme="7" tint="0.59999389629810485"/>
        <bgColor indexed="64"/>
      </patternFill>
    </fill>
    <fill>
      <patternFill patternType="solid">
        <fgColor theme="5" tint="0.59999389629810485"/>
        <bgColor indexed="64"/>
      </patternFill>
    </fill>
    <fill>
      <patternFill patternType="solid">
        <fgColor theme="1" tint="0.14999847407452621"/>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9F4EDE"/>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8CBAD"/>
        <bgColor rgb="FF000000"/>
      </patternFill>
    </fill>
    <fill>
      <patternFill patternType="solid">
        <fgColor rgb="FFFFFF00"/>
        <bgColor rgb="FF000000"/>
      </patternFill>
    </fill>
    <fill>
      <patternFill patternType="solid">
        <fgColor rgb="FFBDD7EE"/>
        <bgColor rgb="FF000000"/>
      </patternFill>
    </fill>
    <fill>
      <patternFill patternType="solid">
        <fgColor rgb="FFACB9CA"/>
        <bgColor rgb="FF000000"/>
      </patternFill>
    </fill>
  </fills>
  <borders count="12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top/>
      <bottom/>
      <diagonal/>
    </border>
    <border>
      <left style="thin">
        <color indexed="64"/>
      </left>
      <right/>
      <top style="thin">
        <color indexed="64"/>
      </top>
      <bottom/>
      <diagonal/>
    </border>
    <border>
      <left style="thin">
        <color indexed="64"/>
      </left>
      <right/>
      <top/>
      <bottom style="medium">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medium">
        <color indexed="64"/>
      </right>
      <top style="medium">
        <color indexed="64"/>
      </top>
      <bottom/>
      <diagonal/>
    </border>
    <border>
      <left/>
      <right/>
      <top style="medium">
        <color indexed="64"/>
      </top>
      <bottom style="thin">
        <color indexed="64"/>
      </bottom>
      <diagonal/>
    </border>
    <border>
      <left/>
      <right/>
      <top/>
      <bottom style="thin">
        <color indexed="64"/>
      </bottom>
      <diagonal/>
    </border>
    <border>
      <left/>
      <right style="thin">
        <color indexed="64"/>
      </right>
      <top/>
      <bottom/>
      <diagonal/>
    </border>
    <border>
      <left/>
      <right style="medium">
        <color indexed="64"/>
      </right>
      <top/>
      <bottom/>
      <diagonal/>
    </border>
    <border>
      <left style="thin">
        <color indexed="64"/>
      </left>
      <right style="thin">
        <color rgb="FF000000"/>
      </right>
      <top/>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bottom style="thin">
        <color indexed="64"/>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diagonal/>
    </border>
    <border>
      <left/>
      <right style="thin">
        <color rgb="FF000000"/>
      </right>
      <top style="thin">
        <color indexed="64"/>
      </top>
      <bottom style="thin">
        <color indexed="64"/>
      </bottom>
      <diagonal/>
    </border>
    <border>
      <left style="thin">
        <color indexed="64"/>
      </left>
      <right style="medium">
        <color indexed="64"/>
      </right>
      <top style="thin">
        <color indexed="64"/>
      </top>
      <bottom/>
      <diagonal/>
    </border>
    <border>
      <left/>
      <right/>
      <top style="thin">
        <color rgb="FF000000"/>
      </top>
      <bottom style="thin">
        <color rgb="FF000000"/>
      </bottom>
      <diagonal/>
    </border>
    <border>
      <left style="medium">
        <color indexed="64"/>
      </left>
      <right style="thin">
        <color indexed="64"/>
      </right>
      <top style="thin">
        <color indexed="64"/>
      </top>
      <bottom/>
      <diagonal/>
    </border>
    <border>
      <left/>
      <right style="thin">
        <color rgb="FF000000"/>
      </right>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thin">
        <color rgb="FF000000"/>
      </left>
      <right style="thin">
        <color rgb="FF000000"/>
      </right>
      <top style="medium">
        <color indexed="64"/>
      </top>
      <bottom/>
      <diagonal/>
    </border>
    <border>
      <left/>
      <right style="thin">
        <color indexed="64"/>
      </right>
      <top style="medium">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right style="thin">
        <color indexed="64"/>
      </right>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medium">
        <color indexed="64"/>
      </top>
      <bottom style="thin">
        <color rgb="FF000000"/>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diagonal/>
    </border>
    <border>
      <left style="thin">
        <color rgb="FF000000"/>
      </left>
      <right/>
      <top/>
      <bottom style="medium">
        <color indexed="64"/>
      </bottom>
      <diagonal/>
    </border>
    <border>
      <left/>
      <right style="thin">
        <color rgb="FF000000"/>
      </right>
      <top/>
      <bottom style="medium">
        <color indexed="64"/>
      </bottom>
      <diagonal/>
    </border>
    <border>
      <left/>
      <right style="thin">
        <color rgb="FF000000"/>
      </right>
      <top style="medium">
        <color indexed="64"/>
      </top>
      <bottom/>
      <diagonal/>
    </border>
    <border>
      <left style="thin">
        <color indexed="64"/>
      </left>
      <right style="medium">
        <color indexed="64"/>
      </right>
      <top/>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rgb="FF000000"/>
      </bottom>
      <diagonal/>
    </border>
    <border>
      <left style="thin">
        <color indexed="64"/>
      </left>
      <right style="medium">
        <color indexed="64"/>
      </right>
      <top style="thin">
        <color indexed="64"/>
      </top>
      <bottom style="medium">
        <color indexed="64"/>
      </bottom>
      <diagonal/>
    </border>
    <border>
      <left/>
      <right style="thin">
        <color rgb="FF000000"/>
      </right>
      <top style="thin">
        <color indexed="64"/>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bottom style="thin">
        <color indexed="64"/>
      </bottom>
      <diagonal/>
    </border>
    <border>
      <left/>
      <right style="medium">
        <color indexed="64"/>
      </right>
      <top style="thin">
        <color rgb="FF000000"/>
      </top>
      <bottom/>
      <diagonal/>
    </border>
    <border>
      <left/>
      <right style="thin">
        <color rgb="FF000000"/>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rgb="FF000000"/>
      </bottom>
      <diagonal/>
    </border>
    <border>
      <left style="medium">
        <color indexed="64"/>
      </left>
      <right style="medium">
        <color indexed="64"/>
      </right>
      <top/>
      <bottom style="thin">
        <color rgb="FF000000"/>
      </bottom>
      <diagonal/>
    </border>
    <border>
      <left style="thin">
        <color indexed="64"/>
      </left>
      <right/>
      <top style="medium">
        <color indexed="64"/>
      </top>
      <bottom/>
      <diagonal/>
    </border>
    <border>
      <left style="thin">
        <color rgb="FF000000"/>
      </left>
      <right/>
      <top style="medium">
        <color indexed="64"/>
      </top>
      <bottom/>
      <diagonal/>
    </border>
  </borders>
  <cellStyleXfs count="2">
    <xf numFmtId="0" fontId="0" fillId="0" borderId="0"/>
    <xf numFmtId="0" fontId="23" fillId="0" borderId="0" applyNumberFormat="0" applyFill="0" applyBorder="0" applyAlignment="0" applyProtection="0"/>
  </cellStyleXfs>
  <cellXfs count="1819">
    <xf numFmtId="0" fontId="0" fillId="0" borderId="0" xfId="0"/>
    <xf numFmtId="0" fontId="0" fillId="0" borderId="0" xfId="0" applyAlignment="1">
      <alignment horizontal="center"/>
    </xf>
    <xf numFmtId="0" fontId="0" fillId="0" borderId="2" xfId="0" applyBorder="1"/>
    <xf numFmtId="0" fontId="0" fillId="3" borderId="2" xfId="0" applyFill="1" applyBorder="1"/>
    <xf numFmtId="0" fontId="3" fillId="3" borderId="2" xfId="0" applyFont="1" applyFill="1" applyBorder="1"/>
    <xf numFmtId="0" fontId="0" fillId="3" borderId="1" xfId="0" applyFill="1" applyBorder="1"/>
    <xf numFmtId="0" fontId="3" fillId="3" borderId="1" xfId="0" applyFont="1" applyFill="1" applyBorder="1"/>
    <xf numFmtId="0" fontId="0" fillId="0" borderId="18" xfId="0" applyBorder="1"/>
    <xf numFmtId="0" fontId="0" fillId="0" borderId="19" xfId="0" applyBorder="1"/>
    <xf numFmtId="0" fontId="3" fillId="0" borderId="19" xfId="0" applyFont="1" applyBorder="1"/>
    <xf numFmtId="0" fontId="0" fillId="0" borderId="19" xfId="0" applyBorder="1" applyAlignment="1">
      <alignment horizontal="center"/>
    </xf>
    <xf numFmtId="0" fontId="0" fillId="0" borderId="20" xfId="0" applyBorder="1"/>
    <xf numFmtId="0" fontId="4" fillId="0" borderId="19" xfId="0" applyFont="1" applyBorder="1"/>
    <xf numFmtId="0" fontId="2" fillId="0" borderId="2" xfId="0" applyFont="1" applyBorder="1"/>
    <xf numFmtId="0" fontId="2" fillId="7" borderId="2" xfId="0" applyFont="1" applyFill="1" applyBorder="1"/>
    <xf numFmtId="0" fontId="3" fillId="3" borderId="13"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8" fillId="0" borderId="0" xfId="0" applyFont="1"/>
    <xf numFmtId="0" fontId="7" fillId="8" borderId="27" xfId="0" applyFont="1" applyFill="1" applyBorder="1" applyAlignment="1">
      <alignment wrapText="1"/>
    </xf>
    <xf numFmtId="0" fontId="8" fillId="0" borderId="27" xfId="0" applyFont="1" applyBorder="1"/>
    <xf numFmtId="0" fontId="9" fillId="0" borderId="27" xfId="0" applyFont="1" applyBorder="1"/>
    <xf numFmtId="0" fontId="9" fillId="0" borderId="27" xfId="0" quotePrefix="1" applyFont="1" applyBorder="1"/>
    <xf numFmtId="0" fontId="7" fillId="8" borderId="28" xfId="0" applyFont="1" applyFill="1" applyBorder="1" applyAlignment="1">
      <alignment wrapText="1"/>
    </xf>
    <xf numFmtId="0" fontId="8" fillId="0" borderId="28" xfId="0" applyFont="1" applyBorder="1"/>
    <xf numFmtId="0" fontId="9" fillId="0" borderId="28" xfId="0" applyFont="1" applyBorder="1"/>
    <xf numFmtId="0" fontId="10" fillId="0" borderId="0" xfId="0" applyFont="1"/>
    <xf numFmtId="0" fontId="8" fillId="0" borderId="27" xfId="0" applyFont="1" applyBorder="1" applyAlignment="1">
      <alignment horizontal="center" wrapText="1"/>
    </xf>
    <xf numFmtId="0" fontId="11" fillId="0" borderId="0" xfId="0" applyFont="1" applyAlignment="1">
      <alignment horizontal="center" vertical="center"/>
    </xf>
    <xf numFmtId="0" fontId="0" fillId="0" borderId="27" xfId="0" applyBorder="1"/>
    <xf numFmtId="0" fontId="0" fillId="3" borderId="0" xfId="0" applyFill="1" applyAlignment="1">
      <alignment horizontal="center" vertical="center"/>
    </xf>
    <xf numFmtId="0" fontId="0" fillId="0" borderId="0" xfId="0" applyAlignment="1">
      <alignment horizontal="center" vertical="center"/>
    </xf>
    <xf numFmtId="0" fontId="0" fillId="0" borderId="27" xfId="0" applyBorder="1" applyAlignment="1">
      <alignment wrapText="1"/>
    </xf>
    <xf numFmtId="0" fontId="8" fillId="0" borderId="0" xfId="0" applyFont="1" applyAlignment="1">
      <alignment horizontal="center"/>
    </xf>
    <xf numFmtId="0" fontId="10" fillId="0" borderId="0" xfId="0" applyFont="1" applyAlignment="1">
      <alignment horizontal="center"/>
    </xf>
    <xf numFmtId="0" fontId="8" fillId="0" borderId="0" xfId="0" applyFont="1" applyAlignment="1">
      <alignment horizontal="center" vertical="center"/>
    </xf>
    <xf numFmtId="0" fontId="10" fillId="0" borderId="0" xfId="0" applyFont="1" applyAlignment="1">
      <alignment horizontal="center" vertical="center"/>
    </xf>
    <xf numFmtId="0" fontId="13" fillId="0" borderId="41" xfId="0" applyFont="1" applyBorder="1" applyAlignment="1">
      <alignment horizontal="center"/>
    </xf>
    <xf numFmtId="0" fontId="0" fillId="0" borderId="27" xfId="0" applyBorder="1" applyAlignment="1">
      <alignment horizontal="center" vertical="center"/>
    </xf>
    <xf numFmtId="0" fontId="0" fillId="3" borderId="5" xfId="0" applyFill="1" applyBorder="1"/>
    <xf numFmtId="0" fontId="3" fillId="3" borderId="5" xfId="0" applyFont="1" applyFill="1" applyBorder="1"/>
    <xf numFmtId="0" fontId="2" fillId="0" borderId="28" xfId="0" applyFont="1" applyBorder="1" applyAlignment="1">
      <alignment horizontal="center"/>
    </xf>
    <xf numFmtId="0" fontId="2" fillId="0" borderId="34" xfId="0" applyFont="1" applyBorder="1" applyAlignment="1">
      <alignment horizontal="center"/>
    </xf>
    <xf numFmtId="0" fontId="0" fillId="0" borderId="37" xfId="0" applyBorder="1" applyAlignment="1">
      <alignment horizontal="center" vertical="center"/>
    </xf>
    <xf numFmtId="0" fontId="0" fillId="0" borderId="34" xfId="0" applyBorder="1" applyAlignment="1">
      <alignment horizontal="center" vertical="center"/>
    </xf>
    <xf numFmtId="0" fontId="2" fillId="0" borderId="27" xfId="0" applyFont="1" applyBorder="1" applyAlignment="1">
      <alignment horizontal="center"/>
    </xf>
    <xf numFmtId="0" fontId="0" fillId="3" borderId="27" xfId="0" applyFill="1" applyBorder="1" applyAlignment="1">
      <alignment vertical="center"/>
    </xf>
    <xf numFmtId="0" fontId="0" fillId="3" borderId="27" xfId="0" applyFill="1" applyBorder="1"/>
    <xf numFmtId="0" fontId="0" fillId="3" borderId="36" xfId="0" applyFill="1" applyBorder="1"/>
    <xf numFmtId="0" fontId="2" fillId="0" borderId="37" xfId="0" applyFont="1" applyBorder="1" applyAlignment="1">
      <alignment horizontal="center"/>
    </xf>
    <xf numFmtId="0" fontId="0" fillId="3" borderId="0" xfId="0" applyFill="1" applyAlignment="1">
      <alignment vertical="center"/>
    </xf>
    <xf numFmtId="0" fontId="3" fillId="0" borderId="27" xfId="0" applyFont="1" applyBorder="1"/>
    <xf numFmtId="0" fontId="3" fillId="0" borderId="26" xfId="0" applyFont="1" applyBorder="1"/>
    <xf numFmtId="0" fontId="0" fillId="0" borderId="37" xfId="0" applyBorder="1"/>
    <xf numFmtId="0" fontId="0" fillId="0" borderId="38" xfId="0" applyBorder="1"/>
    <xf numFmtId="0" fontId="3" fillId="0" borderId="9" xfId="0" applyFont="1" applyBorder="1"/>
    <xf numFmtId="0" fontId="3" fillId="0" borderId="2" xfId="0" applyFont="1" applyBorder="1"/>
    <xf numFmtId="0" fontId="2" fillId="0" borderId="0" xfId="0" applyFont="1"/>
    <xf numFmtId="0" fontId="3" fillId="0" borderId="0" xfId="0" applyFont="1"/>
    <xf numFmtId="0" fontId="3" fillId="0" borderId="9" xfId="0" applyFont="1" applyBorder="1" applyAlignment="1">
      <alignment wrapText="1"/>
    </xf>
    <xf numFmtId="0" fontId="0" fillId="11" borderId="48" xfId="0" applyFill="1" applyBorder="1" applyAlignment="1">
      <alignment vertical="center"/>
    </xf>
    <xf numFmtId="0" fontId="3" fillId="11" borderId="9" xfId="0" applyFont="1" applyFill="1" applyBorder="1" applyAlignment="1">
      <alignment wrapText="1"/>
    </xf>
    <xf numFmtId="0" fontId="3" fillId="11" borderId="2" xfId="0" applyFont="1" applyFill="1" applyBorder="1" applyAlignment="1">
      <alignment wrapText="1"/>
    </xf>
    <xf numFmtId="0" fontId="0" fillId="11" borderId="27" xfId="0" applyFill="1" applyBorder="1"/>
    <xf numFmtId="0" fontId="0" fillId="11" borderId="0" xfId="0" applyFill="1"/>
    <xf numFmtId="0" fontId="0" fillId="11" borderId="8" xfId="0" applyFill="1" applyBorder="1" applyAlignment="1">
      <alignment vertical="center"/>
    </xf>
    <xf numFmtId="0" fontId="4" fillId="0" borderId="19" xfId="0" applyFont="1" applyBorder="1" applyAlignment="1">
      <alignment vertical="center"/>
    </xf>
    <xf numFmtId="0" fontId="4" fillId="0" borderId="19" xfId="0" applyFont="1" applyBorder="1" applyAlignment="1">
      <alignment vertical="center" wrapText="1"/>
    </xf>
    <xf numFmtId="0" fontId="14" fillId="0" borderId="19" xfId="0" applyFont="1" applyBorder="1" applyAlignment="1">
      <alignment vertical="center" wrapText="1"/>
    </xf>
    <xf numFmtId="0" fontId="0" fillId="0" borderId="19" xfId="0" applyBorder="1" applyAlignment="1">
      <alignment horizontal="center" vertical="center"/>
    </xf>
    <xf numFmtId="0" fontId="4" fillId="0" borderId="19" xfId="0" applyFont="1" applyBorder="1" applyAlignment="1">
      <alignment horizontal="left" vertical="center" wrapText="1"/>
    </xf>
    <xf numFmtId="0" fontId="4" fillId="0" borderId="19" xfId="0" applyFont="1" applyBorder="1" applyAlignment="1">
      <alignment horizontal="left" vertical="center"/>
    </xf>
    <xf numFmtId="0" fontId="13" fillId="0" borderId="42" xfId="0" applyFont="1" applyBorder="1" applyAlignment="1">
      <alignment horizontal="center"/>
    </xf>
    <xf numFmtId="0" fontId="8" fillId="0" borderId="15" xfId="0" applyFont="1" applyBorder="1"/>
    <xf numFmtId="0" fontId="8" fillId="0" borderId="27" xfId="0" applyFont="1" applyBorder="1" applyAlignment="1">
      <alignment horizontal="center"/>
    </xf>
    <xf numFmtId="0" fontId="8" fillId="0" borderId="28" xfId="0" applyFont="1" applyBorder="1" applyAlignment="1">
      <alignment horizontal="center"/>
    </xf>
    <xf numFmtId="0" fontId="2" fillId="0" borderId="5" xfId="0" applyFont="1" applyBorder="1"/>
    <xf numFmtId="0" fontId="2" fillId="13" borderId="27" xfId="0" applyFont="1" applyFill="1" applyBorder="1"/>
    <xf numFmtId="0" fontId="2" fillId="14" borderId="27" xfId="0" applyFont="1" applyFill="1" applyBorder="1"/>
    <xf numFmtId="0" fontId="2" fillId="12" borderId="27" xfId="0" applyFont="1" applyFill="1" applyBorder="1"/>
    <xf numFmtId="0" fontId="2" fillId="5" borderId="27" xfId="0" applyFont="1" applyFill="1" applyBorder="1"/>
    <xf numFmtId="0" fontId="0" fillId="0" borderId="8" xfId="0" applyBorder="1"/>
    <xf numFmtId="0" fontId="0" fillId="0" borderId="32" xfId="0" applyBorder="1"/>
    <xf numFmtId="0" fontId="2" fillId="13" borderId="36" xfId="0" applyFont="1" applyFill="1" applyBorder="1" applyAlignment="1">
      <alignment horizontal="center" vertical="center" wrapText="1"/>
    </xf>
    <xf numFmtId="0" fontId="2" fillId="12" borderId="36" xfId="0" applyFont="1" applyFill="1" applyBorder="1" applyAlignment="1">
      <alignment horizontal="center" vertical="center" wrapText="1"/>
    </xf>
    <xf numFmtId="0" fontId="2" fillId="5" borderId="36" xfId="0" applyFont="1" applyFill="1" applyBorder="1" applyAlignment="1">
      <alignment horizontal="center" vertical="center" wrapText="1"/>
    </xf>
    <xf numFmtId="0" fontId="2" fillId="14" borderId="36" xfId="0" applyFont="1" applyFill="1" applyBorder="1" applyAlignment="1">
      <alignment horizontal="center" vertical="center" wrapText="1"/>
    </xf>
    <xf numFmtId="0" fontId="0" fillId="11" borderId="27" xfId="0" applyFill="1" applyBorder="1" applyAlignment="1">
      <alignment horizontal="center" vertical="center"/>
    </xf>
    <xf numFmtId="0" fontId="0" fillId="0" borderId="28" xfId="0" applyBorder="1"/>
    <xf numFmtId="0" fontId="0" fillId="0" borderId="19" xfId="0" applyBorder="1" applyAlignment="1">
      <alignment wrapText="1"/>
    </xf>
    <xf numFmtId="0" fontId="4" fillId="0" borderId="19" xfId="0" applyFont="1" applyBorder="1" applyAlignment="1">
      <alignment horizontal="right" vertical="center"/>
    </xf>
    <xf numFmtId="0" fontId="15" fillId="15" borderId="2" xfId="0" applyFont="1" applyFill="1" applyBorder="1" applyAlignment="1">
      <alignment wrapText="1"/>
    </xf>
    <xf numFmtId="0" fontId="3" fillId="0" borderId="2" xfId="0" applyFont="1" applyBorder="1" applyAlignment="1">
      <alignment wrapText="1"/>
    </xf>
    <xf numFmtId="0" fontId="0" fillId="11" borderId="0" xfId="0" applyFill="1" applyAlignment="1">
      <alignment vertical="center"/>
    </xf>
    <xf numFmtId="0" fontId="10" fillId="0" borderId="7" xfId="0" applyFont="1" applyBorder="1"/>
    <xf numFmtId="0" fontId="8" fillId="0" borderId="26" xfId="0" applyFont="1" applyBorder="1"/>
    <xf numFmtId="0" fontId="16" fillId="11" borderId="0" xfId="0" applyFont="1" applyFill="1"/>
    <xf numFmtId="0" fontId="0" fillId="0" borderId="27" xfId="0" applyBorder="1" applyAlignment="1">
      <alignment horizontal="center" vertical="center" wrapText="1"/>
    </xf>
    <xf numFmtId="0" fontId="0" fillId="0" borderId="38" xfId="0" applyBorder="1" applyAlignment="1">
      <alignment horizontal="center" vertical="center" wrapText="1"/>
    </xf>
    <xf numFmtId="0" fontId="3" fillId="0" borderId="27" xfId="0" applyFont="1" applyBorder="1" applyAlignment="1">
      <alignment wrapText="1"/>
    </xf>
    <xf numFmtId="0" fontId="3" fillId="0" borderId="38" xfId="0" applyFont="1" applyBorder="1" applyAlignment="1">
      <alignment wrapText="1"/>
    </xf>
    <xf numFmtId="0" fontId="3" fillId="0" borderId="26" xfId="0" applyFont="1" applyBorder="1" applyAlignment="1">
      <alignment wrapText="1"/>
    </xf>
    <xf numFmtId="0" fontId="3" fillId="0" borderId="0" xfId="0" applyFont="1" applyAlignment="1">
      <alignment wrapText="1"/>
    </xf>
    <xf numFmtId="0" fontId="0" fillId="0" borderId="27" xfId="0" applyBorder="1" applyAlignment="1">
      <alignment horizontal="center"/>
    </xf>
    <xf numFmtId="0" fontId="3" fillId="0" borderId="27" xfId="0" applyFont="1" applyBorder="1" applyAlignment="1">
      <alignment horizontal="right" wrapText="1"/>
    </xf>
    <xf numFmtId="0" fontId="3" fillId="0" borderId="5" xfId="0" applyFont="1" applyBorder="1" applyAlignment="1">
      <alignment wrapText="1"/>
    </xf>
    <xf numFmtId="0" fontId="3" fillId="0" borderId="27" xfId="0" applyFont="1" applyBorder="1" applyAlignment="1">
      <alignment horizontal="left" vertical="center" wrapText="1"/>
    </xf>
    <xf numFmtId="0" fontId="3" fillId="0" borderId="53" xfId="0" applyFont="1" applyBorder="1" applyAlignment="1">
      <alignment wrapText="1"/>
    </xf>
    <xf numFmtId="0" fontId="20"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36" xfId="0" applyBorder="1"/>
    <xf numFmtId="0" fontId="3" fillId="0" borderId="36" xfId="0" applyFont="1" applyBorder="1" applyAlignment="1">
      <alignment wrapText="1"/>
    </xf>
    <xf numFmtId="0" fontId="3" fillId="0" borderId="36" xfId="0" applyFont="1" applyBorder="1"/>
    <xf numFmtId="0" fontId="17" fillId="0" borderId="0" xfId="0" applyFont="1"/>
    <xf numFmtId="0" fontId="16" fillId="0" borderId="0" xfId="0" applyFont="1"/>
    <xf numFmtId="0" fontId="3" fillId="0" borderId="27" xfId="0" applyFont="1" applyBorder="1" applyAlignment="1">
      <alignment vertical="center"/>
    </xf>
    <xf numFmtId="0" fontId="3" fillId="0" borderId="9" xfId="0" applyFont="1" applyBorder="1" applyAlignment="1">
      <alignment vertical="center" wrapText="1"/>
    </xf>
    <xf numFmtId="0" fontId="19" fillId="0" borderId="27" xfId="0" applyFont="1" applyBorder="1" applyAlignment="1">
      <alignment wrapText="1"/>
    </xf>
    <xf numFmtId="0" fontId="0" fillId="0" borderId="27" xfId="0" applyBorder="1" applyAlignment="1">
      <alignment vertical="center"/>
    </xf>
    <xf numFmtId="0" fontId="0" fillId="11" borderId="8" xfId="0" applyFill="1" applyBorder="1" applyAlignment="1">
      <alignment horizontal="center"/>
    </xf>
    <xf numFmtId="0" fontId="0" fillId="12" borderId="8" xfId="0" applyFill="1" applyBorder="1" applyAlignment="1">
      <alignment horizontal="center" vertical="center"/>
    </xf>
    <xf numFmtId="0" fontId="0" fillId="13" borderId="8" xfId="0" applyFill="1" applyBorder="1" applyAlignment="1">
      <alignment horizontal="center"/>
    </xf>
    <xf numFmtId="0" fontId="0" fillId="0" borderId="8" xfId="0" applyBorder="1" applyAlignment="1">
      <alignment horizontal="center"/>
    </xf>
    <xf numFmtId="0" fontId="0" fillId="11" borderId="32" xfId="0" applyFill="1" applyBorder="1" applyAlignment="1">
      <alignment horizontal="center"/>
    </xf>
    <xf numFmtId="0" fontId="3" fillId="0" borderId="27" xfId="0" applyFont="1" applyBorder="1" applyAlignment="1">
      <alignment vertical="center" wrapText="1"/>
    </xf>
    <xf numFmtId="0" fontId="3" fillId="0" borderId="7" xfId="0" applyFont="1" applyBorder="1" applyAlignment="1">
      <alignment wrapText="1"/>
    </xf>
    <xf numFmtId="0" fontId="21" fillId="0" borderId="27" xfId="0" applyFont="1" applyBorder="1" applyAlignment="1">
      <alignment horizontal="center"/>
    </xf>
    <xf numFmtId="0" fontId="13" fillId="0" borderId="0" xfId="0" applyFont="1" applyAlignment="1">
      <alignment vertical="center"/>
    </xf>
    <xf numFmtId="0" fontId="3" fillId="0" borderId="34" xfId="0" applyFont="1" applyBorder="1"/>
    <xf numFmtId="0" fontId="3" fillId="0" borderId="37" xfId="0" applyFont="1" applyBorder="1" applyAlignment="1">
      <alignment wrapText="1"/>
    </xf>
    <xf numFmtId="0" fontId="3" fillId="0" borderId="34" xfId="0" applyFont="1" applyBorder="1" applyAlignment="1">
      <alignment wrapText="1"/>
    </xf>
    <xf numFmtId="0" fontId="3" fillId="0" borderId="35" xfId="0" applyFont="1" applyBorder="1" applyAlignment="1">
      <alignment wrapText="1"/>
    </xf>
    <xf numFmtId="0" fontId="0" fillId="0" borderId="28" xfId="0" applyBorder="1" applyAlignment="1">
      <alignment horizontal="center" vertical="center"/>
    </xf>
    <xf numFmtId="0" fontId="0" fillId="9" borderId="27" xfId="0" applyFill="1" applyBorder="1" applyAlignment="1">
      <alignment horizontal="center" vertical="center" wrapText="1"/>
    </xf>
    <xf numFmtId="0" fontId="22" fillId="0" borderId="27" xfId="0" applyFont="1" applyBorder="1" applyAlignment="1">
      <alignment horizontal="center" vertical="center"/>
    </xf>
    <xf numFmtId="0" fontId="3" fillId="0" borderId="8" xfId="0" applyFont="1" applyBorder="1" applyAlignment="1">
      <alignment wrapText="1"/>
    </xf>
    <xf numFmtId="0" fontId="0" fillId="11" borderId="52" xfId="0" applyFill="1" applyBorder="1" applyAlignment="1">
      <alignment horizontal="center"/>
    </xf>
    <xf numFmtId="0" fontId="18" fillId="0" borderId="27" xfId="0" applyFont="1" applyBorder="1" applyAlignment="1">
      <alignment wrapText="1"/>
    </xf>
    <xf numFmtId="0" fontId="2" fillId="17" borderId="27" xfId="0" applyFont="1" applyFill="1" applyBorder="1" applyAlignment="1">
      <alignment horizontal="center" vertical="center" wrapText="1"/>
    </xf>
    <xf numFmtId="0" fontId="0" fillId="11" borderId="34" xfId="0" applyFill="1" applyBorder="1" applyAlignment="1">
      <alignment horizontal="center" vertical="center"/>
    </xf>
    <xf numFmtId="0" fontId="0" fillId="0" borderId="28" xfId="0" applyBorder="1" applyAlignment="1">
      <alignment horizontal="center"/>
    </xf>
    <xf numFmtId="0" fontId="0" fillId="0" borderId="34" xfId="0" applyBorder="1" applyAlignment="1">
      <alignment horizontal="center" vertical="center" wrapText="1"/>
    </xf>
    <xf numFmtId="0" fontId="0" fillId="11" borderId="34" xfId="0" applyFill="1" applyBorder="1" applyAlignment="1">
      <alignment horizontal="center" vertical="center" wrapText="1"/>
    </xf>
    <xf numFmtId="0" fontId="0" fillId="0" borderId="34" xfId="0" applyBorder="1"/>
    <xf numFmtId="0" fontId="2" fillId="17" borderId="34" xfId="0" applyFont="1" applyFill="1" applyBorder="1" applyAlignment="1">
      <alignment horizontal="center" vertical="center" wrapText="1"/>
    </xf>
    <xf numFmtId="0" fontId="0" fillId="0" borderId="35" xfId="0" applyBorder="1"/>
    <xf numFmtId="0" fontId="0" fillId="0" borderId="37" xfId="0" applyBorder="1" applyAlignment="1">
      <alignment horizontal="center" vertical="center" wrapText="1"/>
    </xf>
    <xf numFmtId="0" fontId="2" fillId="0" borderId="34"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36" xfId="0" applyFont="1" applyBorder="1"/>
    <xf numFmtId="0" fontId="2" fillId="0" borderId="36" xfId="0" applyFont="1" applyBorder="1" applyAlignment="1">
      <alignment wrapText="1"/>
    </xf>
    <xf numFmtId="0" fontId="0" fillId="11" borderId="9" xfId="0" applyFill="1" applyBorder="1" applyAlignment="1">
      <alignment vertical="center"/>
    </xf>
    <xf numFmtId="0" fontId="20" fillId="0" borderId="0" xfId="0" applyFont="1" applyAlignment="1">
      <alignment horizontal="center" vertical="center" wrapText="1"/>
    </xf>
    <xf numFmtId="0" fontId="0" fillId="0" borderId="36" xfId="0" applyBorder="1" applyAlignment="1">
      <alignment horizontal="center" vertical="center"/>
    </xf>
    <xf numFmtId="0" fontId="0" fillId="0" borderId="34" xfId="0" applyBorder="1" applyAlignment="1">
      <alignment horizontal="center"/>
    </xf>
    <xf numFmtId="0" fontId="2" fillId="0" borderId="27" xfId="0" applyFont="1" applyBorder="1"/>
    <xf numFmtId="0" fontId="0" fillId="0" borderId="29" xfId="0" applyBorder="1" applyAlignment="1">
      <alignment horizontal="center" vertical="center"/>
    </xf>
    <xf numFmtId="0" fontId="0" fillId="11" borderId="8" xfId="0" applyFill="1" applyBorder="1" applyAlignment="1">
      <alignment horizontal="center" vertical="center"/>
    </xf>
    <xf numFmtId="0" fontId="22" fillId="0" borderId="36" xfId="0" applyFont="1" applyBorder="1" applyAlignment="1">
      <alignment horizontal="center" vertical="center"/>
    </xf>
    <xf numFmtId="0" fontId="21" fillId="0" borderId="36" xfId="0" applyFont="1" applyBorder="1" applyAlignment="1">
      <alignment horizontal="center"/>
    </xf>
    <xf numFmtId="0" fontId="0" fillId="19" borderId="29" xfId="0" applyFill="1" applyBorder="1" applyAlignment="1">
      <alignment horizontal="center" vertical="center"/>
    </xf>
    <xf numFmtId="0" fontId="0" fillId="19" borderId="49" xfId="0" applyFill="1" applyBorder="1" applyAlignment="1">
      <alignment horizontal="center" vertical="center"/>
    </xf>
    <xf numFmtId="0" fontId="0" fillId="19" borderId="0" xfId="0" applyFill="1"/>
    <xf numFmtId="0" fontId="0" fillId="19" borderId="0" xfId="0" applyFill="1" applyAlignment="1">
      <alignment horizontal="center"/>
    </xf>
    <xf numFmtId="0" fontId="3" fillId="19" borderId="0" xfId="0" applyFont="1" applyFill="1"/>
    <xf numFmtId="0" fontId="3" fillId="19" borderId="0" xfId="0" applyFont="1" applyFill="1" applyAlignment="1">
      <alignment wrapText="1"/>
    </xf>
    <xf numFmtId="0" fontId="3" fillId="19" borderId="0" xfId="0" applyFont="1" applyFill="1" applyAlignment="1">
      <alignment horizontal="right" wrapText="1"/>
    </xf>
    <xf numFmtId="0" fontId="0" fillId="19" borderId="27" xfId="0" applyFill="1" applyBorder="1" applyAlignment="1">
      <alignment horizontal="center" vertical="center"/>
    </xf>
    <xf numFmtId="0" fontId="0" fillId="19" borderId="35" xfId="0" applyFill="1" applyBorder="1" applyAlignment="1">
      <alignment horizontal="center" vertical="center" wrapText="1"/>
    </xf>
    <xf numFmtId="0" fontId="0" fillId="19" borderId="0" xfId="0" applyFill="1" applyAlignment="1">
      <alignment horizontal="center" vertical="center" wrapText="1"/>
    </xf>
    <xf numFmtId="0" fontId="0" fillId="19" borderId="39" xfId="0" applyFill="1" applyBorder="1"/>
    <xf numFmtId="0" fontId="0" fillId="19" borderId="38" xfId="0" applyFill="1" applyBorder="1"/>
    <xf numFmtId="0" fontId="2" fillId="0" borderId="0" xfId="0" applyFont="1" applyAlignment="1">
      <alignment horizontal="center" vertical="center"/>
    </xf>
    <xf numFmtId="0" fontId="0" fillId="0" borderId="38" xfId="0" applyBorder="1" applyAlignment="1">
      <alignment horizontal="center" vertical="center"/>
    </xf>
    <xf numFmtId="0" fontId="0" fillId="11" borderId="38" xfId="0" applyFill="1" applyBorder="1" applyAlignment="1">
      <alignment horizontal="center" vertical="center"/>
    </xf>
    <xf numFmtId="0" fontId="0" fillId="11" borderId="27" xfId="0" applyFill="1" applyBorder="1" applyAlignment="1">
      <alignment vertical="center"/>
    </xf>
    <xf numFmtId="0" fontId="3" fillId="0" borderId="9" xfId="0" applyFont="1" applyBorder="1" applyAlignment="1">
      <alignment vertical="center"/>
    </xf>
    <xf numFmtId="0" fontId="6" fillId="0" borderId="9" xfId="0" applyFont="1" applyBorder="1" applyAlignment="1">
      <alignment vertical="center"/>
    </xf>
    <xf numFmtId="0" fontId="5" fillId="0" borderId="7" xfId="0" applyFont="1" applyBorder="1" applyAlignment="1">
      <alignment vertical="center"/>
    </xf>
    <xf numFmtId="0" fontId="2" fillId="13" borderId="8" xfId="0" applyFont="1" applyFill="1" applyBorder="1" applyAlignment="1">
      <alignment horizontal="center" vertical="center"/>
    </xf>
    <xf numFmtId="0" fontId="0" fillId="0" borderId="38" xfId="0" applyBorder="1" applyAlignment="1">
      <alignment vertical="center"/>
    </xf>
    <xf numFmtId="0" fontId="0" fillId="11" borderId="26" xfId="0" applyFill="1" applyBorder="1" applyAlignment="1">
      <alignment vertical="center"/>
    </xf>
    <xf numFmtId="0" fontId="2" fillId="17" borderId="50" xfId="0" applyFont="1" applyFill="1" applyBorder="1" applyAlignment="1">
      <alignment horizontal="center" vertical="center"/>
    </xf>
    <xf numFmtId="0" fontId="0" fillId="20" borderId="29" xfId="0" applyFill="1" applyBorder="1" applyAlignment="1">
      <alignment horizontal="center" vertical="center"/>
    </xf>
    <xf numFmtId="0" fontId="24" fillId="20" borderId="37" xfId="0" applyFont="1" applyFill="1" applyBorder="1" applyAlignment="1">
      <alignment horizontal="center" vertical="center"/>
    </xf>
    <xf numFmtId="0" fontId="24" fillId="20" borderId="38" xfId="0" applyFont="1" applyFill="1" applyBorder="1" applyAlignment="1">
      <alignment horizontal="center" vertical="center"/>
    </xf>
    <xf numFmtId="0" fontId="0" fillId="20" borderId="0" xfId="0" applyFill="1" applyAlignment="1">
      <alignment horizontal="center" vertical="center"/>
    </xf>
    <xf numFmtId="0" fontId="2" fillId="20" borderId="50" xfId="0" applyFont="1" applyFill="1" applyBorder="1" applyAlignment="1">
      <alignment horizontal="center" vertical="center"/>
    </xf>
    <xf numFmtId="0" fontId="15" fillId="20" borderId="36" xfId="0" applyFont="1" applyFill="1" applyBorder="1" applyAlignment="1">
      <alignment horizontal="left" vertical="center" wrapText="1"/>
    </xf>
    <xf numFmtId="0" fontId="15" fillId="20" borderId="0" xfId="0" applyFont="1" applyFill="1" applyAlignment="1">
      <alignment wrapText="1"/>
    </xf>
    <xf numFmtId="0" fontId="15" fillId="20" borderId="9" xfId="0" applyFont="1" applyFill="1" applyBorder="1" applyAlignment="1">
      <alignment wrapText="1"/>
    </xf>
    <xf numFmtId="0" fontId="15" fillId="20" borderId="2" xfId="0" applyFont="1" applyFill="1" applyBorder="1" applyAlignment="1">
      <alignment wrapText="1"/>
    </xf>
    <xf numFmtId="0" fontId="2" fillId="20" borderId="8" xfId="0" applyFont="1" applyFill="1" applyBorder="1" applyAlignment="1">
      <alignment horizontal="center"/>
    </xf>
    <xf numFmtId="0" fontId="2" fillId="20" borderId="36" xfId="0" applyFont="1" applyFill="1" applyBorder="1"/>
    <xf numFmtId="0" fontId="2" fillId="20" borderId="36" xfId="0" applyFont="1" applyFill="1" applyBorder="1" applyAlignment="1">
      <alignment wrapText="1"/>
    </xf>
    <xf numFmtId="0" fontId="2" fillId="20" borderId="0" xfId="0" applyFont="1" applyFill="1"/>
    <xf numFmtId="0" fontId="0" fillId="0" borderId="58" xfId="0" applyBorder="1"/>
    <xf numFmtId="0" fontId="0" fillId="0" borderId="0" xfId="0" applyAlignment="1">
      <alignment vertical="center" wrapText="1"/>
    </xf>
    <xf numFmtId="0" fontId="3" fillId="0" borderId="39" xfId="0" applyFont="1" applyBorder="1" applyAlignment="1">
      <alignment wrapText="1"/>
    </xf>
    <xf numFmtId="0" fontId="3" fillId="0" borderId="28" xfId="0" applyFont="1" applyBorder="1" applyAlignment="1">
      <alignment wrapText="1"/>
    </xf>
    <xf numFmtId="0" fontId="0" fillId="0" borderId="32" xfId="0" applyBorder="1" applyAlignment="1">
      <alignment horizontal="center"/>
    </xf>
    <xf numFmtId="0" fontId="0" fillId="12" borderId="48" xfId="0" applyFill="1" applyBorder="1" applyAlignment="1">
      <alignment horizontal="center" vertical="center"/>
    </xf>
    <xf numFmtId="0" fontId="9" fillId="21" borderId="27" xfId="0" applyFont="1" applyFill="1" applyBorder="1"/>
    <xf numFmtId="0" fontId="0" fillId="21" borderId="0" xfId="0" applyFill="1"/>
    <xf numFmtId="0" fontId="0" fillId="21" borderId="0" xfId="0" applyFill="1" applyAlignment="1">
      <alignment horizontal="center"/>
    </xf>
    <xf numFmtId="0" fontId="8" fillId="21" borderId="27" xfId="0" applyFont="1" applyFill="1" applyBorder="1"/>
    <xf numFmtId="0" fontId="8" fillId="21" borderId="28" xfId="0" applyFont="1" applyFill="1" applyBorder="1"/>
    <xf numFmtId="0" fontId="25" fillId="21" borderId="27" xfId="0" applyFont="1" applyFill="1" applyBorder="1" applyAlignment="1">
      <alignment wrapText="1"/>
    </xf>
    <xf numFmtId="0" fontId="17" fillId="0" borderId="52" xfId="0" applyFont="1" applyBorder="1" applyAlignment="1">
      <alignment horizontal="center"/>
    </xf>
    <xf numFmtId="0" fontId="5" fillId="0" borderId="27" xfId="0" applyFont="1" applyBorder="1"/>
    <xf numFmtId="0" fontId="3" fillId="0" borderId="48" xfId="0" applyFont="1" applyBorder="1" applyAlignment="1">
      <alignment wrapText="1"/>
    </xf>
    <xf numFmtId="0" fontId="19" fillId="0" borderId="8" xfId="0" applyFont="1" applyBorder="1" applyAlignment="1">
      <alignment wrapText="1"/>
    </xf>
    <xf numFmtId="0" fontId="6" fillId="0" borderId="52" xfId="0" applyFont="1" applyBorder="1"/>
    <xf numFmtId="0" fontId="0" fillId="0" borderId="52" xfId="0" applyBorder="1" applyAlignment="1">
      <alignment horizontal="center"/>
    </xf>
    <xf numFmtId="0" fontId="0" fillId="13" borderId="52" xfId="0" applyFill="1" applyBorder="1" applyAlignment="1">
      <alignment horizontal="center"/>
    </xf>
    <xf numFmtId="0" fontId="3" fillId="0" borderId="7" xfId="0" applyFont="1" applyBorder="1" applyAlignment="1">
      <alignment vertical="center"/>
    </xf>
    <xf numFmtId="0" fontId="0" fillId="0" borderId="36" xfId="0" applyBorder="1" applyAlignment="1">
      <alignment wrapText="1"/>
    </xf>
    <xf numFmtId="0" fontId="0" fillId="0" borderId="27" xfId="0" applyBorder="1" applyAlignment="1">
      <alignment vertical="center" wrapText="1"/>
    </xf>
    <xf numFmtId="0" fontId="0" fillId="5" borderId="27" xfId="0" applyFill="1" applyBorder="1" applyAlignment="1">
      <alignment horizontal="center" vertical="center"/>
    </xf>
    <xf numFmtId="0" fontId="3" fillId="0" borderId="10" xfId="0" applyFont="1" applyBorder="1" applyAlignment="1">
      <alignment wrapText="1"/>
    </xf>
    <xf numFmtId="0" fontId="0" fillId="11" borderId="42" xfId="0" applyFill="1" applyBorder="1" applyAlignment="1">
      <alignment horizontal="center"/>
    </xf>
    <xf numFmtId="0" fontId="0" fillId="0" borderId="27" xfId="0" applyBorder="1" applyAlignment="1">
      <alignment horizontal="right" vertical="center"/>
    </xf>
    <xf numFmtId="0" fontId="4" fillId="0" borderId="27" xfId="0" applyFont="1" applyBorder="1" applyAlignment="1">
      <alignment vertical="center" wrapText="1"/>
    </xf>
    <xf numFmtId="0" fontId="0" fillId="0" borderId="38" xfId="0" applyBorder="1" applyAlignment="1">
      <alignment vertical="center" wrapText="1"/>
    </xf>
    <xf numFmtId="0" fontId="3" fillId="0" borderId="26" xfId="0" applyFont="1" applyBorder="1" applyAlignment="1">
      <alignment vertical="center" wrapText="1"/>
    </xf>
    <xf numFmtId="0" fontId="3" fillId="0" borderId="7" xfId="0" applyFont="1" applyBorder="1" applyAlignment="1">
      <alignment vertical="center" wrapText="1"/>
    </xf>
    <xf numFmtId="0" fontId="2" fillId="17" borderId="52" xfId="0" applyFont="1" applyFill="1" applyBorder="1" applyAlignment="1">
      <alignment horizontal="center"/>
    </xf>
    <xf numFmtId="0" fontId="3" fillId="0" borderId="50" xfId="0" applyFont="1" applyBorder="1" applyAlignment="1">
      <alignment horizontal="left" vertical="center" wrapText="1"/>
    </xf>
    <xf numFmtId="0" fontId="15" fillId="0" borderId="32" xfId="0" applyFont="1" applyBorder="1" applyAlignment="1">
      <alignment wrapText="1"/>
    </xf>
    <xf numFmtId="0" fontId="2" fillId="20" borderId="0" xfId="0" applyFont="1" applyFill="1" applyAlignment="1">
      <alignment horizontal="center" vertical="center"/>
    </xf>
    <xf numFmtId="0" fontId="15" fillId="20" borderId="39" xfId="0" applyFont="1" applyFill="1" applyBorder="1" applyAlignment="1">
      <alignment horizontal="left" vertical="center" wrapText="1"/>
    </xf>
    <xf numFmtId="0" fontId="15" fillId="20" borderId="26" xfId="0" applyFont="1" applyFill="1" applyBorder="1" applyAlignment="1">
      <alignment wrapText="1"/>
    </xf>
    <xf numFmtId="0" fontId="15" fillId="20" borderId="7" xfId="0" applyFont="1" applyFill="1" applyBorder="1" applyAlignment="1">
      <alignment wrapText="1"/>
    </xf>
    <xf numFmtId="0" fontId="15" fillId="0" borderId="27" xfId="0" applyFont="1" applyBorder="1" applyAlignment="1">
      <alignment wrapText="1"/>
    </xf>
    <xf numFmtId="0" fontId="15" fillId="0" borderId="36" xfId="0" applyFont="1" applyBorder="1" applyAlignment="1">
      <alignment wrapText="1"/>
    </xf>
    <xf numFmtId="0" fontId="2" fillId="0" borderId="27" xfId="0" applyFont="1" applyBorder="1" applyAlignment="1">
      <alignment wrapText="1"/>
    </xf>
    <xf numFmtId="0" fontId="3" fillId="0" borderId="42" xfId="0" applyFont="1" applyBorder="1" applyAlignment="1">
      <alignment wrapText="1"/>
    </xf>
    <xf numFmtId="0" fontId="2" fillId="17" borderId="63" xfId="0" applyFont="1" applyFill="1" applyBorder="1" applyAlignment="1">
      <alignment horizontal="center"/>
    </xf>
    <xf numFmtId="0" fontId="2" fillId="0" borderId="36" xfId="0" applyFont="1" applyBorder="1" applyAlignment="1">
      <alignment horizont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20" borderId="48" xfId="0" applyFont="1" applyFill="1" applyBorder="1" applyAlignment="1">
      <alignment horizontal="center"/>
    </xf>
    <xf numFmtId="0" fontId="0" fillId="20" borderId="38" xfId="0" applyFill="1" applyBorder="1" applyAlignment="1">
      <alignment horizontal="center"/>
    </xf>
    <xf numFmtId="0" fontId="2" fillId="20" borderId="37" xfId="0" applyFont="1" applyFill="1" applyBorder="1" applyAlignment="1">
      <alignment horizontal="center" vertical="center" wrapText="1"/>
    </xf>
    <xf numFmtId="0" fontId="2" fillId="20" borderId="38" xfId="0" applyFont="1" applyFill="1" applyBorder="1" applyAlignment="1">
      <alignment horizontal="center" vertical="center" wrapText="1"/>
    </xf>
    <xf numFmtId="0" fontId="2" fillId="20" borderId="39" xfId="0" applyFont="1" applyFill="1" applyBorder="1"/>
    <xf numFmtId="0" fontId="2" fillId="20" borderId="39" xfId="0" applyFont="1" applyFill="1" applyBorder="1" applyAlignment="1">
      <alignment wrapText="1"/>
    </xf>
    <xf numFmtId="0" fontId="0" fillId="20" borderId="36" xfId="0" applyFill="1" applyBorder="1" applyAlignment="1">
      <alignment horizontal="center"/>
    </xf>
    <xf numFmtId="0" fontId="2" fillId="20" borderId="35" xfId="0" applyFont="1" applyFill="1" applyBorder="1" applyAlignment="1">
      <alignment horizontal="center" vertical="center" wrapText="1"/>
    </xf>
    <xf numFmtId="0" fontId="2" fillId="20" borderId="36" xfId="0" applyFont="1" applyFill="1" applyBorder="1" applyAlignment="1">
      <alignment horizontal="center" vertical="center" wrapText="1"/>
    </xf>
    <xf numFmtId="0" fontId="2" fillId="0" borderId="38" xfId="0" applyFont="1" applyBorder="1" applyAlignment="1">
      <alignment horizontal="center"/>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xf numFmtId="0" fontId="2" fillId="0" borderId="39" xfId="0" applyFont="1" applyBorder="1" applyAlignment="1">
      <alignment wrapText="1"/>
    </xf>
    <xf numFmtId="0" fontId="3" fillId="0" borderId="10" xfId="0" applyFont="1" applyBorder="1" applyAlignment="1">
      <alignment horizontal="right" wrapText="1"/>
    </xf>
    <xf numFmtId="0" fontId="0" fillId="0" borderId="0" xfId="0" applyAlignment="1">
      <alignment horizontal="center" wrapText="1"/>
    </xf>
    <xf numFmtId="0" fontId="3" fillId="0" borderId="38" xfId="0" applyFont="1" applyBorder="1" applyAlignment="1">
      <alignment vertical="center" wrapText="1"/>
    </xf>
    <xf numFmtId="0" fontId="3" fillId="0" borderId="39" xfId="0" applyFont="1" applyBorder="1" applyAlignment="1">
      <alignment vertical="center" wrapText="1"/>
    </xf>
    <xf numFmtId="0" fontId="3" fillId="0" borderId="43" xfId="0" applyFont="1" applyBorder="1" applyAlignment="1">
      <alignment vertical="center" wrapText="1"/>
    </xf>
    <xf numFmtId="0" fontId="3" fillId="0" borderId="10" xfId="0" applyFont="1" applyBorder="1" applyAlignment="1">
      <alignment vertical="center" wrapText="1"/>
    </xf>
    <xf numFmtId="0" fontId="0" fillId="11" borderId="48" xfId="0" applyFill="1" applyBorder="1" applyAlignment="1">
      <alignment horizontal="center" vertical="center"/>
    </xf>
    <xf numFmtId="0" fontId="3" fillId="0" borderId="29" xfId="0" applyFont="1" applyBorder="1" applyAlignment="1">
      <alignment wrapText="1"/>
    </xf>
    <xf numFmtId="0" fontId="0" fillId="0" borderId="42" xfId="0" applyBorder="1" applyAlignment="1">
      <alignment horizontal="center"/>
    </xf>
    <xf numFmtId="0" fontId="3" fillId="0" borderId="36" xfId="0" applyFont="1" applyBorder="1" applyAlignment="1">
      <alignment horizontal="right" wrapText="1"/>
    </xf>
    <xf numFmtId="0" fontId="20" fillId="0" borderId="27" xfId="0" applyFont="1" applyBorder="1" applyAlignment="1">
      <alignment horizontal="center" vertical="center" wrapText="1"/>
    </xf>
    <xf numFmtId="0" fontId="8" fillId="0" borderId="27" xfId="0" applyFont="1" applyBorder="1" applyAlignment="1">
      <alignment horizontal="center" vertical="center"/>
    </xf>
    <xf numFmtId="0" fontId="0" fillId="11" borderId="42" xfId="0" applyFill="1" applyBorder="1" applyAlignment="1">
      <alignment vertical="center"/>
    </xf>
    <xf numFmtId="0" fontId="0" fillId="11" borderId="52" xfId="0" applyFill="1" applyBorder="1" applyAlignment="1">
      <alignment vertical="center"/>
    </xf>
    <xf numFmtId="0" fontId="13" fillId="0" borderId="27" xfId="0" applyFont="1" applyBorder="1" applyAlignment="1">
      <alignment horizontal="center" wrapText="1"/>
    </xf>
    <xf numFmtId="0" fontId="13" fillId="0" borderId="27" xfId="0" applyFont="1" applyBorder="1" applyAlignment="1">
      <alignment horizontal="center"/>
    </xf>
    <xf numFmtId="0" fontId="13" fillId="0" borderId="27" xfId="0" applyFont="1" applyBorder="1"/>
    <xf numFmtId="0" fontId="13" fillId="0" borderId="34" xfId="0" applyFont="1" applyBorder="1" applyAlignment="1">
      <alignment horizontal="center" wrapText="1"/>
    </xf>
    <xf numFmtId="0" fontId="8" fillId="0" borderId="38" xfId="0" applyFont="1" applyBorder="1" applyAlignment="1">
      <alignment horizontal="center"/>
    </xf>
    <xf numFmtId="0" fontId="8" fillId="0" borderId="38" xfId="0" applyFont="1" applyBorder="1"/>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4" xfId="0" applyFont="1" applyBorder="1" applyAlignment="1">
      <alignment horizontal="center" vertical="center"/>
    </xf>
    <xf numFmtId="0" fontId="8" fillId="0" borderId="30" xfId="0" applyFont="1" applyBorder="1" applyAlignment="1">
      <alignment horizontal="center"/>
    </xf>
    <xf numFmtId="0" fontId="8" fillId="0" borderId="29" xfId="0" applyFont="1" applyBorder="1" applyAlignment="1">
      <alignment horizontal="center"/>
    </xf>
    <xf numFmtId="0" fontId="15" fillId="0" borderId="34" xfId="0" applyFont="1" applyBorder="1" applyAlignment="1">
      <alignment wrapText="1"/>
    </xf>
    <xf numFmtId="0" fontId="3" fillId="0" borderId="36" xfId="0" applyFont="1" applyBorder="1" applyAlignment="1">
      <alignment horizontal="left" vertical="center" wrapText="1"/>
    </xf>
    <xf numFmtId="0" fontId="15" fillId="0" borderId="51" xfId="0" applyFont="1" applyBorder="1" applyAlignment="1">
      <alignment wrapText="1"/>
    </xf>
    <xf numFmtId="0" fontId="15" fillId="0" borderId="38" xfId="0" applyFont="1" applyBorder="1" applyAlignment="1">
      <alignment wrapText="1"/>
    </xf>
    <xf numFmtId="0" fontId="2" fillId="0" borderId="37" xfId="0" applyFont="1" applyBorder="1" applyAlignment="1">
      <alignment horizontal="center" vertical="center"/>
    </xf>
    <xf numFmtId="0" fontId="2" fillId="0" borderId="34" xfId="0" applyFont="1" applyBorder="1" applyAlignment="1">
      <alignment horizontal="center" vertical="center"/>
    </xf>
    <xf numFmtId="0" fontId="10" fillId="0" borderId="56" xfId="0" applyFont="1" applyBorder="1"/>
    <xf numFmtId="0" fontId="8" fillId="0" borderId="37" xfId="0" applyFont="1" applyBorder="1"/>
    <xf numFmtId="0" fontId="8" fillId="0" borderId="37" xfId="0" applyFont="1" applyBorder="1" applyAlignment="1">
      <alignment wrapText="1"/>
    </xf>
    <xf numFmtId="0" fontId="8" fillId="22" borderId="15" xfId="0" applyFont="1" applyFill="1" applyBorder="1"/>
    <xf numFmtId="0" fontId="8" fillId="22" borderId="0" xfId="0" applyFont="1" applyFill="1" applyAlignment="1">
      <alignment horizontal="center"/>
    </xf>
    <xf numFmtId="0" fontId="0" fillId="22" borderId="0" xfId="0" applyFill="1"/>
    <xf numFmtId="0" fontId="0" fillId="0" borderId="28" xfId="0" applyBorder="1" applyAlignment="1">
      <alignment horizontal="center" vertical="center" wrapText="1"/>
    </xf>
    <xf numFmtId="0" fontId="8" fillId="0" borderId="27" xfId="0" applyFont="1" applyBorder="1" applyAlignment="1">
      <alignment horizontal="center" vertical="center" wrapText="1"/>
    </xf>
    <xf numFmtId="0" fontId="3" fillId="0" borderId="2" xfId="0" applyFont="1" applyBorder="1" applyAlignment="1">
      <alignment horizontal="right"/>
    </xf>
    <xf numFmtId="0" fontId="3" fillId="0" borderId="52" xfId="0" applyFont="1" applyBorder="1"/>
    <xf numFmtId="0" fontId="3" fillId="0" borderId="28" xfId="0" applyFont="1" applyBorder="1" applyAlignment="1">
      <alignment vertical="center" wrapText="1"/>
    </xf>
    <xf numFmtId="0" fontId="3" fillId="0" borderId="34" xfId="0" applyFont="1" applyBorder="1" applyAlignment="1">
      <alignment vertical="center" wrapText="1"/>
    </xf>
    <xf numFmtId="0" fontId="0" fillId="0" borderId="51" xfId="0" applyBorder="1" applyAlignment="1">
      <alignment horizontal="center" vertical="center"/>
    </xf>
    <xf numFmtId="0" fontId="12" fillId="10" borderId="40" xfId="0" applyFont="1" applyFill="1" applyBorder="1" applyAlignment="1">
      <alignment horizontal="center" vertical="center" wrapText="1"/>
    </xf>
    <xf numFmtId="0" fontId="10" fillId="10" borderId="12" xfId="0" applyFont="1" applyFill="1" applyBorder="1" applyAlignment="1">
      <alignment vertical="center" wrapText="1"/>
    </xf>
    <xf numFmtId="0" fontId="10" fillId="10" borderId="40" xfId="0" applyFont="1" applyFill="1" applyBorder="1" applyAlignment="1">
      <alignment horizontal="center" vertical="center" wrapText="1"/>
    </xf>
    <xf numFmtId="0" fontId="8" fillId="0" borderId="15" xfId="0" applyFont="1" applyBorder="1" applyAlignment="1">
      <alignment vertical="center"/>
    </xf>
    <xf numFmtId="0" fontId="8" fillId="18" borderId="27" xfId="0" applyFont="1" applyFill="1" applyBorder="1" applyAlignment="1">
      <alignment horizontal="center" vertical="center"/>
    </xf>
    <xf numFmtId="0" fontId="8" fillId="18" borderId="34" xfId="0" applyFont="1" applyFill="1" applyBorder="1" applyAlignment="1">
      <alignment horizontal="center" vertical="center"/>
    </xf>
    <xf numFmtId="0" fontId="7" fillId="0" borderId="0" xfId="0" applyFont="1"/>
    <xf numFmtId="0" fontId="7" fillId="10" borderId="40" xfId="0" applyFont="1" applyFill="1" applyBorder="1" applyAlignment="1">
      <alignment vertical="center" wrapText="1"/>
    </xf>
    <xf numFmtId="0" fontId="7" fillId="10" borderId="40" xfId="0" applyFont="1" applyFill="1" applyBorder="1" applyAlignment="1">
      <alignment horizontal="center" vertical="center" wrapText="1"/>
    </xf>
    <xf numFmtId="0" fontId="28" fillId="6" borderId="25" xfId="0" applyFont="1" applyFill="1" applyBorder="1" applyAlignment="1">
      <alignment horizontal="center" vertical="center" wrapText="1"/>
    </xf>
    <xf numFmtId="0" fontId="29" fillId="0" borderId="27" xfId="0" applyFont="1" applyBorder="1"/>
    <xf numFmtId="0" fontId="30" fillId="0" borderId="27" xfId="0" applyFont="1" applyBorder="1"/>
    <xf numFmtId="0" fontId="27" fillId="0" borderId="42" xfId="0" applyFont="1" applyBorder="1" applyAlignment="1">
      <alignment horizontal="center"/>
    </xf>
    <xf numFmtId="0" fontId="27" fillId="0" borderId="27" xfId="0" applyFont="1" applyBorder="1" applyAlignment="1">
      <alignment horizontal="center"/>
    </xf>
    <xf numFmtId="0" fontId="30" fillId="0" borderId="0" xfId="0" applyFont="1" applyAlignment="1">
      <alignment horizontal="center"/>
    </xf>
    <xf numFmtId="0" fontId="29" fillId="0" borderId="26" xfId="0" applyFont="1" applyBorder="1"/>
    <xf numFmtId="0" fontId="27" fillId="22" borderId="26" xfId="0" applyFont="1" applyFill="1" applyBorder="1"/>
    <xf numFmtId="0" fontId="30" fillId="0" borderId="2" xfId="0" applyFont="1" applyBorder="1" applyAlignment="1">
      <alignment horizontal="center" vertical="center"/>
    </xf>
    <xf numFmtId="0" fontId="29" fillId="0" borderId="26" xfId="0" applyFont="1" applyBorder="1" applyAlignment="1">
      <alignment vertical="center"/>
    </xf>
    <xf numFmtId="0" fontId="27" fillId="0" borderId="36" xfId="0" applyFont="1" applyBorder="1" applyAlignment="1">
      <alignment horizontal="center" vertical="center"/>
    </xf>
    <xf numFmtId="0" fontId="27" fillId="0" borderId="27" xfId="0" applyFont="1" applyBorder="1" applyAlignment="1">
      <alignment horizontal="center" vertical="center"/>
    </xf>
    <xf numFmtId="0" fontId="29" fillId="0" borderId="27" xfId="0" applyFont="1" applyBorder="1" applyAlignment="1">
      <alignment horizontal="center" vertical="center"/>
    </xf>
    <xf numFmtId="0" fontId="27" fillId="0" borderId="27" xfId="0" applyFont="1" applyBorder="1" applyAlignment="1">
      <alignment wrapText="1"/>
    </xf>
    <xf numFmtId="0" fontId="7" fillId="0" borderId="0" xfId="0" applyFont="1" applyAlignment="1">
      <alignment horizontal="center"/>
    </xf>
    <xf numFmtId="0" fontId="30" fillId="0" borderId="38" xfId="0" applyFont="1" applyBorder="1"/>
    <xf numFmtId="0" fontId="30" fillId="0" borderId="0" xfId="0" applyFont="1"/>
    <xf numFmtId="0" fontId="30" fillId="0" borderId="0" xfId="0" applyFont="1" applyAlignment="1">
      <alignment horizontal="center" vertical="center"/>
    </xf>
    <xf numFmtId="0" fontId="30" fillId="0" borderId="0" xfId="0" applyFont="1" applyAlignment="1">
      <alignment vertical="center"/>
    </xf>
    <xf numFmtId="0" fontId="0" fillId="0" borderId="46" xfId="0" applyBorder="1"/>
    <xf numFmtId="0" fontId="0" fillId="0" borderId="17" xfId="0" applyBorder="1"/>
    <xf numFmtId="0" fontId="4" fillId="0" borderId="17" xfId="0" applyFont="1" applyBorder="1"/>
    <xf numFmtId="0" fontId="0" fillId="0" borderId="17" xfId="0" applyBorder="1" applyAlignment="1">
      <alignment horizontal="center"/>
    </xf>
    <xf numFmtId="0" fontId="3" fillId="0" borderId="17" xfId="0" applyFont="1" applyBorder="1"/>
    <xf numFmtId="0" fontId="0" fillId="0" borderId="17" xfId="0" applyBorder="1" applyAlignment="1">
      <alignment horizontal="center" vertical="center"/>
    </xf>
    <xf numFmtId="0" fontId="0" fillId="0" borderId="38" xfId="0" applyBorder="1" applyAlignment="1">
      <alignment horizontal="center"/>
    </xf>
    <xf numFmtId="0" fontId="0" fillId="0" borderId="22" xfId="0" applyBorder="1"/>
    <xf numFmtId="0" fontId="0" fillId="0" borderId="38" xfId="0" applyBorder="1" applyAlignment="1">
      <alignment wrapText="1"/>
    </xf>
    <xf numFmtId="0" fontId="1" fillId="0" borderId="27" xfId="0" applyFont="1" applyBorder="1" applyAlignment="1">
      <alignment horizontal="center" vertical="center"/>
    </xf>
    <xf numFmtId="0" fontId="1" fillId="0" borderId="27" xfId="0" applyFont="1" applyBorder="1" applyAlignment="1">
      <alignment horizontal="center" vertical="center" wrapText="1"/>
    </xf>
    <xf numFmtId="0" fontId="1" fillId="0" borderId="36" xfId="0" applyFont="1" applyBorder="1" applyAlignment="1">
      <alignment horizontal="center" vertical="center"/>
    </xf>
    <xf numFmtId="0" fontId="27" fillId="0" borderId="0" xfId="0" applyFont="1"/>
    <xf numFmtId="0" fontId="27" fillId="0" borderId="0" xfId="0" applyFont="1" applyAlignment="1">
      <alignment horizontal="center"/>
    </xf>
    <xf numFmtId="0" fontId="27" fillId="0" borderId="0" xfId="0" applyFont="1" applyAlignment="1">
      <alignment horizontal="center" vertical="center"/>
    </xf>
    <xf numFmtId="0" fontId="13" fillId="0" borderId="27" xfId="0" applyFont="1" applyBorder="1" applyAlignment="1">
      <alignment vertical="center"/>
    </xf>
    <xf numFmtId="0" fontId="27" fillId="0" borderId="26" xfId="0" applyFont="1" applyBorder="1"/>
    <xf numFmtId="0" fontId="27" fillId="0" borderId="7" xfId="0" applyFont="1" applyBorder="1"/>
    <xf numFmtId="0" fontId="27" fillId="0" borderId="7" xfId="0" applyFont="1" applyBorder="1" applyAlignment="1">
      <alignment horizontal="center"/>
    </xf>
    <xf numFmtId="0" fontId="27" fillId="0" borderId="2" xfId="0" applyFont="1" applyBorder="1"/>
    <xf numFmtId="0" fontId="27" fillId="0" borderId="2" xfId="0" applyFont="1" applyBorder="1" applyAlignment="1">
      <alignment horizontal="center"/>
    </xf>
    <xf numFmtId="0" fontId="27" fillId="0" borderId="9" xfId="0" applyFont="1" applyBorder="1" applyAlignment="1">
      <alignment horizontal="center"/>
    </xf>
    <xf numFmtId="0" fontId="27" fillId="0" borderId="26" xfId="0" applyFont="1" applyBorder="1" applyAlignment="1">
      <alignment horizontal="center"/>
    </xf>
    <xf numFmtId="0" fontId="27" fillId="0" borderId="27" xfId="0" applyFont="1" applyBorder="1"/>
    <xf numFmtId="0" fontId="27" fillId="0" borderId="26" xfId="0" applyFont="1" applyBorder="1" applyAlignment="1">
      <alignment horizontal="center" vertical="center"/>
    </xf>
    <xf numFmtId="0" fontId="27" fillId="22" borderId="27" xfId="0" applyFont="1" applyFill="1" applyBorder="1" applyAlignment="1">
      <alignment horizontal="center"/>
    </xf>
    <xf numFmtId="0" fontId="27" fillId="0" borderId="43" xfId="0" applyFont="1" applyBorder="1"/>
    <xf numFmtId="0" fontId="27" fillId="0" borderId="10" xfId="0" applyFont="1" applyBorder="1"/>
    <xf numFmtId="0" fontId="27" fillId="0" borderId="43" xfId="0" applyFont="1" applyBorder="1" applyAlignment="1">
      <alignment horizontal="center"/>
    </xf>
    <xf numFmtId="0" fontId="27" fillId="0" borderId="43" xfId="0" applyFont="1" applyBorder="1" applyAlignment="1">
      <alignment horizontal="center" vertical="center"/>
    </xf>
    <xf numFmtId="0" fontId="27" fillId="0" borderId="7" xfId="0" applyFont="1" applyBorder="1" applyAlignment="1">
      <alignment vertical="center"/>
    </xf>
    <xf numFmtId="0" fontId="27" fillId="0" borderId="26" xfId="0" applyFont="1" applyBorder="1" applyAlignment="1">
      <alignment vertical="center"/>
    </xf>
    <xf numFmtId="0" fontId="27" fillId="0" borderId="7" xfId="0" applyFont="1" applyBorder="1" applyAlignment="1">
      <alignment horizontal="center" vertical="center"/>
    </xf>
    <xf numFmtId="0" fontId="27" fillId="0" borderId="42" xfId="0" applyFont="1" applyBorder="1" applyAlignment="1">
      <alignment horizontal="center" vertical="center"/>
    </xf>
    <xf numFmtId="0" fontId="27" fillId="15" borderId="27" xfId="0" applyFont="1" applyFill="1" applyBorder="1" applyAlignment="1">
      <alignment horizontal="center"/>
    </xf>
    <xf numFmtId="0" fontId="27" fillId="0" borderId="27" xfId="0" applyFont="1" applyBorder="1" applyAlignment="1">
      <alignment vertical="center"/>
    </xf>
    <xf numFmtId="0" fontId="27" fillId="0" borderId="27" xfId="0" applyFont="1" applyBorder="1" applyAlignment="1">
      <alignment vertical="center" wrapText="1"/>
    </xf>
    <xf numFmtId="0" fontId="27" fillId="4" borderId="27" xfId="0" applyFont="1" applyFill="1" applyBorder="1"/>
    <xf numFmtId="0" fontId="27" fillId="18" borderId="27" xfId="0" applyFont="1" applyFill="1" applyBorder="1" applyAlignment="1">
      <alignment horizontal="center" vertical="center"/>
    </xf>
    <xf numFmtId="0" fontId="27" fillId="0" borderId="38" xfId="0" applyFont="1" applyBorder="1" applyAlignment="1">
      <alignment horizontal="center"/>
    </xf>
    <xf numFmtId="0" fontId="7" fillId="8" borderId="27" xfId="0" applyFont="1" applyFill="1" applyBorder="1" applyAlignment="1">
      <alignment vertical="center" wrapText="1"/>
    </xf>
    <xf numFmtId="0" fontId="30" fillId="0" borderId="27" xfId="0" applyFont="1" applyBorder="1" applyAlignment="1">
      <alignment horizontal="left" wrapText="1"/>
    </xf>
    <xf numFmtId="0" fontId="8" fillId="0" borderId="38" xfId="0" applyFont="1" applyBorder="1" applyAlignment="1">
      <alignment horizontal="center" vertical="center"/>
    </xf>
    <xf numFmtId="0" fontId="27" fillId="0" borderId="43" xfId="0" applyFont="1" applyBorder="1" applyAlignment="1">
      <alignment vertical="center"/>
    </xf>
    <xf numFmtId="0" fontId="27" fillId="0" borderId="10" xfId="0" applyFont="1" applyBorder="1" applyAlignment="1">
      <alignment horizontal="center" vertical="center"/>
    </xf>
    <xf numFmtId="0" fontId="27" fillId="18" borderId="27" xfId="0" applyFont="1" applyFill="1" applyBorder="1" applyAlignment="1">
      <alignment vertical="center"/>
    </xf>
    <xf numFmtId="0" fontId="27" fillId="18" borderId="27" xfId="0" applyFont="1" applyFill="1" applyBorder="1" applyAlignment="1">
      <alignment vertical="center" wrapText="1"/>
    </xf>
    <xf numFmtId="0" fontId="0" fillId="18" borderId="0" xfId="0" applyFill="1" applyAlignment="1">
      <alignment vertical="center"/>
    </xf>
    <xf numFmtId="0" fontId="8" fillId="0" borderId="27" xfId="0" applyFont="1" applyBorder="1" applyAlignment="1">
      <alignment vertical="center"/>
    </xf>
    <xf numFmtId="0" fontId="8" fillId="0" borderId="38" xfId="0" applyFont="1" applyBorder="1" applyAlignment="1">
      <alignment vertical="center"/>
    </xf>
    <xf numFmtId="0" fontId="31" fillId="0" borderId="27" xfId="0" applyFont="1" applyBorder="1" applyAlignment="1">
      <alignment vertical="center" wrapText="1"/>
    </xf>
    <xf numFmtId="0" fontId="29" fillId="0" borderId="27" xfId="0" applyFont="1" applyBorder="1" applyAlignment="1">
      <alignment vertical="center"/>
    </xf>
    <xf numFmtId="0" fontId="0" fillId="11" borderId="2" xfId="0" applyFill="1" applyBorder="1" applyAlignment="1">
      <alignment vertical="center"/>
    </xf>
    <xf numFmtId="0" fontId="0" fillId="11" borderId="2" xfId="0" applyFill="1" applyBorder="1" applyAlignment="1">
      <alignment horizontal="center" vertical="center"/>
    </xf>
    <xf numFmtId="0" fontId="3" fillId="11" borderId="2" xfId="0" applyFont="1" applyFill="1" applyBorder="1" applyAlignment="1">
      <alignment vertical="center"/>
    </xf>
    <xf numFmtId="0" fontId="3" fillId="11" borderId="38" xfId="0" applyFont="1" applyFill="1" applyBorder="1" applyAlignment="1">
      <alignment vertical="center" wrapText="1"/>
    </xf>
    <xf numFmtId="0" fontId="3" fillId="11" borderId="26" xfId="0" applyFont="1" applyFill="1" applyBorder="1" applyAlignment="1">
      <alignment vertical="center" wrapText="1"/>
    </xf>
    <xf numFmtId="0" fontId="3" fillId="11" borderId="2" xfId="0" applyFont="1" applyFill="1" applyBorder="1" applyAlignment="1">
      <alignment vertical="center" wrapText="1"/>
    </xf>
    <xf numFmtId="0" fontId="3" fillId="11" borderId="2" xfId="0" applyFont="1" applyFill="1" applyBorder="1" applyAlignment="1">
      <alignment horizontal="right" vertical="center" wrapText="1"/>
    </xf>
    <xf numFmtId="0" fontId="0" fillId="11" borderId="36" xfId="0" applyFill="1" applyBorder="1" applyAlignment="1">
      <alignment vertical="center"/>
    </xf>
    <xf numFmtId="0" fontId="0" fillId="11" borderId="36" xfId="0" applyFill="1" applyBorder="1" applyAlignment="1">
      <alignment vertical="center" wrapText="1"/>
    </xf>
    <xf numFmtId="0" fontId="3" fillId="0" borderId="27" xfId="0" applyFont="1" applyBorder="1" applyAlignment="1">
      <alignment horizontal="right" vertical="center" wrapText="1"/>
    </xf>
    <xf numFmtId="0" fontId="3" fillId="0" borderId="37" xfId="0" applyFont="1" applyBorder="1" applyAlignment="1">
      <alignment vertical="center" wrapText="1"/>
    </xf>
    <xf numFmtId="0" fontId="15" fillId="17" borderId="27" xfId="0" applyFont="1" applyFill="1" applyBorder="1" applyAlignment="1">
      <alignment vertical="center" wrapText="1"/>
    </xf>
    <xf numFmtId="0" fontId="15" fillId="17" borderId="9" xfId="0" applyFont="1" applyFill="1" applyBorder="1" applyAlignment="1">
      <alignment vertical="center" wrapText="1"/>
    </xf>
    <xf numFmtId="0" fontId="15" fillId="17" borderId="2" xfId="0" applyFont="1" applyFill="1" applyBorder="1" applyAlignment="1">
      <alignment vertical="center" wrapText="1"/>
    </xf>
    <xf numFmtId="0" fontId="2" fillId="17" borderId="8" xfId="0" applyFont="1" applyFill="1" applyBorder="1" applyAlignment="1">
      <alignment horizontal="center" vertical="center"/>
    </xf>
    <xf numFmtId="0" fontId="2" fillId="17" borderId="27" xfId="0" applyFont="1" applyFill="1" applyBorder="1" applyAlignment="1">
      <alignment vertical="center"/>
    </xf>
    <xf numFmtId="0" fontId="2" fillId="17" borderId="27" xfId="0" applyFont="1" applyFill="1" applyBorder="1" applyAlignment="1">
      <alignment vertical="center" wrapText="1"/>
    </xf>
    <xf numFmtId="0" fontId="2" fillId="17" borderId="0" xfId="0" applyFont="1" applyFill="1" applyAlignment="1">
      <alignment vertical="center"/>
    </xf>
    <xf numFmtId="0" fontId="8" fillId="0" borderId="36" xfId="0" applyFont="1" applyBorder="1" applyAlignment="1">
      <alignment horizontal="center" vertical="center"/>
    </xf>
    <xf numFmtId="0" fontId="8" fillId="0" borderId="23"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42" xfId="0" applyFont="1" applyBorder="1" applyAlignment="1">
      <alignment horizontal="center" vertical="center" wrapText="1"/>
    </xf>
    <xf numFmtId="0" fontId="8" fillId="0" borderId="56" xfId="0" applyFont="1" applyBorder="1" applyAlignment="1">
      <alignment horizontal="center" vertical="center"/>
    </xf>
    <xf numFmtId="0" fontId="8" fillId="18" borderId="27" xfId="0" applyFont="1" applyFill="1" applyBorder="1" applyAlignment="1">
      <alignment horizontal="center" vertical="center" wrapText="1"/>
    </xf>
    <xf numFmtId="0" fontId="8" fillId="0" borderId="38" xfId="0" applyFont="1" applyBorder="1" applyAlignment="1">
      <alignment horizontal="center" vertical="center" wrapText="1"/>
    </xf>
    <xf numFmtId="0" fontId="13" fillId="0" borderId="27" xfId="0" applyFont="1" applyBorder="1" applyAlignment="1">
      <alignment horizontal="center" vertical="center"/>
    </xf>
    <xf numFmtId="0" fontId="8" fillId="18" borderId="30" xfId="0" applyFont="1" applyFill="1" applyBorder="1" applyAlignment="1">
      <alignment horizontal="center" vertical="center"/>
    </xf>
    <xf numFmtId="0" fontId="8" fillId="21" borderId="27" xfId="0" applyFont="1" applyFill="1" applyBorder="1" applyAlignment="1">
      <alignment horizontal="center" vertical="center"/>
    </xf>
    <xf numFmtId="0" fontId="8" fillId="21" borderId="34" xfId="0" applyFont="1" applyFill="1" applyBorder="1" applyAlignment="1">
      <alignment horizontal="center" vertical="center"/>
    </xf>
    <xf numFmtId="0" fontId="8" fillId="21" borderId="27" xfId="0" applyFont="1" applyFill="1" applyBorder="1" applyAlignment="1">
      <alignment horizontal="center" vertical="center" wrapText="1"/>
    </xf>
    <xf numFmtId="0" fontId="27" fillId="21" borderId="27" xfId="0" applyFont="1" applyFill="1" applyBorder="1" applyAlignment="1">
      <alignment vertical="center"/>
    </xf>
    <xf numFmtId="0" fontId="27" fillId="21" borderId="27" xfId="0" applyFont="1" applyFill="1" applyBorder="1" applyAlignment="1">
      <alignment vertical="center" wrapText="1"/>
    </xf>
    <xf numFmtId="0" fontId="27" fillId="21" borderId="27" xfId="0" applyFont="1" applyFill="1" applyBorder="1" applyAlignment="1">
      <alignment horizontal="center" vertical="center"/>
    </xf>
    <xf numFmtId="0" fontId="0" fillId="21" borderId="0" xfId="0" applyFill="1" applyAlignment="1">
      <alignment vertical="center"/>
    </xf>
    <xf numFmtId="0" fontId="27" fillId="0" borderId="38" xfId="0" applyFont="1" applyBorder="1" applyAlignment="1">
      <alignment horizontal="center" vertical="center"/>
    </xf>
    <xf numFmtId="0" fontId="8" fillId="22" borderId="27" xfId="0" applyFont="1" applyFill="1" applyBorder="1" applyAlignment="1">
      <alignment horizontal="center" vertical="center"/>
    </xf>
    <xf numFmtId="0" fontId="27" fillId="22" borderId="27" xfId="0" applyFont="1" applyFill="1" applyBorder="1"/>
    <xf numFmtId="0" fontId="27" fillId="4" borderId="26" xfId="0" applyFont="1" applyFill="1" applyBorder="1"/>
    <xf numFmtId="0" fontId="27" fillId="0" borderId="38" xfId="0" applyFont="1" applyBorder="1" applyAlignment="1">
      <alignment vertical="center"/>
    </xf>
    <xf numFmtId="0" fontId="3" fillId="11" borderId="27" xfId="0" applyFont="1" applyFill="1" applyBorder="1" applyAlignment="1">
      <alignment vertical="center" wrapText="1"/>
    </xf>
    <xf numFmtId="0" fontId="3" fillId="11" borderId="28" xfId="0" applyFont="1" applyFill="1" applyBorder="1" applyAlignment="1">
      <alignment vertical="center"/>
    </xf>
    <xf numFmtId="0" fontId="3" fillId="11" borderId="29" xfId="0" applyFont="1" applyFill="1" applyBorder="1" applyAlignment="1">
      <alignment vertical="center"/>
    </xf>
    <xf numFmtId="0" fontId="3" fillId="11" borderId="27" xfId="0" applyFont="1" applyFill="1" applyBorder="1" applyAlignment="1">
      <alignment vertical="center"/>
    </xf>
    <xf numFmtId="0" fontId="8" fillId="0" borderId="42" xfId="0" applyFont="1" applyBorder="1" applyAlignment="1">
      <alignment horizontal="center" vertical="center"/>
    </xf>
    <xf numFmtId="0" fontId="8" fillId="0" borderId="50" xfId="0" applyFont="1" applyBorder="1" applyAlignment="1">
      <alignment horizontal="center" vertical="center"/>
    </xf>
    <xf numFmtId="0" fontId="3" fillId="11" borderId="9" xfId="0" applyFont="1" applyFill="1" applyBorder="1" applyAlignment="1">
      <alignment vertical="center" wrapText="1"/>
    </xf>
    <xf numFmtId="0" fontId="0" fillId="0" borderId="18" xfId="0" applyBorder="1" applyAlignment="1">
      <alignment vertical="center"/>
    </xf>
    <xf numFmtId="0" fontId="0" fillId="0" borderId="19" xfId="0" applyBorder="1" applyAlignment="1">
      <alignment vertical="center"/>
    </xf>
    <xf numFmtId="0" fontId="0" fillId="0" borderId="19" xfId="0" applyBorder="1" applyAlignment="1">
      <alignment vertical="center" wrapText="1"/>
    </xf>
    <xf numFmtId="0" fontId="3" fillId="0" borderId="19" xfId="0" applyFont="1" applyBorder="1" applyAlignment="1">
      <alignment vertical="center"/>
    </xf>
    <xf numFmtId="0" fontId="0" fillId="0" borderId="20" xfId="0" applyBorder="1" applyAlignment="1">
      <alignment vertical="center"/>
    </xf>
    <xf numFmtId="0" fontId="27" fillId="0" borderId="26" xfId="0" applyFont="1" applyBorder="1" applyAlignment="1">
      <alignment horizontal="center" wrapText="1"/>
    </xf>
    <xf numFmtId="0" fontId="3" fillId="0" borderId="0" xfId="0" applyFont="1" applyAlignment="1">
      <alignment vertical="center" wrapText="1"/>
    </xf>
    <xf numFmtId="0" fontId="3" fillId="0" borderId="0" xfId="0" applyFont="1" applyAlignment="1">
      <alignment vertical="center"/>
    </xf>
    <xf numFmtId="0" fontId="3" fillId="0" borderId="2" xfId="0" applyFont="1" applyBorder="1" applyAlignment="1">
      <alignment vertical="center" wrapText="1"/>
    </xf>
    <xf numFmtId="0" fontId="3" fillId="0" borderId="8" xfId="0" applyFont="1" applyBorder="1" applyAlignment="1">
      <alignment vertical="center" wrapText="1"/>
    </xf>
    <xf numFmtId="0" fontId="0" fillId="0" borderId="8" xfId="0" applyBorder="1" applyAlignment="1">
      <alignment horizontal="center" vertical="center"/>
    </xf>
    <xf numFmtId="0" fontId="26" fillId="0" borderId="27" xfId="0" applyFont="1" applyBorder="1"/>
    <xf numFmtId="0" fontId="27" fillId="0" borderId="38" xfId="0" applyFont="1" applyBorder="1"/>
    <xf numFmtId="0" fontId="8" fillId="0" borderId="15" xfId="0" applyFont="1" applyBorder="1" applyAlignment="1">
      <alignment horizontal="left" vertical="center"/>
    </xf>
    <xf numFmtId="0" fontId="8" fillId="0" borderId="0" xfId="0" applyFont="1" applyAlignment="1">
      <alignment horizontal="left" vertical="center"/>
    </xf>
    <xf numFmtId="0" fontId="27" fillId="0" borderId="27" xfId="0" applyFont="1" applyBorder="1" applyAlignment="1">
      <alignment horizontal="left" vertical="center"/>
    </xf>
    <xf numFmtId="0" fontId="29" fillId="0" borderId="34" xfId="0" applyFont="1" applyBorder="1" applyAlignment="1">
      <alignment horizontal="left" vertical="center"/>
    </xf>
    <xf numFmtId="0" fontId="0" fillId="0" borderId="0" xfId="0" applyAlignment="1">
      <alignment horizontal="left" vertical="center"/>
    </xf>
    <xf numFmtId="0" fontId="13" fillId="0" borderId="34"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42" xfId="0" applyFont="1" applyBorder="1" applyAlignment="1">
      <alignment horizontal="center" vertical="center"/>
    </xf>
    <xf numFmtId="0" fontId="0" fillId="23" borderId="0" xfId="0" applyFill="1"/>
    <xf numFmtId="0" fontId="8" fillId="23" borderId="15" xfId="0" applyFont="1" applyFill="1" applyBorder="1"/>
    <xf numFmtId="0" fontId="8" fillId="23" borderId="0" xfId="0" applyFont="1" applyFill="1" applyAlignment="1">
      <alignment horizontal="center"/>
    </xf>
    <xf numFmtId="0" fontId="8" fillId="23" borderId="27" xfId="0" applyFont="1" applyFill="1" applyBorder="1" applyAlignment="1">
      <alignment horizontal="center" vertical="center"/>
    </xf>
    <xf numFmtId="0" fontId="27" fillId="23" borderId="27" xfId="0" applyFont="1" applyFill="1" applyBorder="1"/>
    <xf numFmtId="0" fontId="27" fillId="23" borderId="7" xfId="0" applyFont="1" applyFill="1" applyBorder="1"/>
    <xf numFmtId="0" fontId="29" fillId="23" borderId="26" xfId="0" applyFont="1" applyFill="1" applyBorder="1"/>
    <xf numFmtId="0" fontId="27" fillId="23" borderId="26" xfId="0" applyFont="1" applyFill="1" applyBorder="1"/>
    <xf numFmtId="0" fontId="27" fillId="23" borderId="7" xfId="0" applyFont="1" applyFill="1" applyBorder="1" applyAlignment="1">
      <alignment horizontal="center"/>
    </xf>
    <xf numFmtId="0" fontId="27" fillId="23" borderId="26" xfId="0" applyFont="1" applyFill="1" applyBorder="1" applyAlignment="1">
      <alignment horizontal="center"/>
    </xf>
    <xf numFmtId="0" fontId="27" fillId="23" borderId="27" xfId="0" applyFont="1" applyFill="1" applyBorder="1" applyAlignment="1">
      <alignment horizontal="center"/>
    </xf>
    <xf numFmtId="0" fontId="27" fillId="0" borderId="10" xfId="0" applyFont="1" applyBorder="1" applyAlignment="1">
      <alignment vertical="center"/>
    </xf>
    <xf numFmtId="0" fontId="27" fillId="0" borderId="28" xfId="0" applyFont="1" applyBorder="1"/>
    <xf numFmtId="0" fontId="33" fillId="0" borderId="27" xfId="0" applyFont="1" applyBorder="1"/>
    <xf numFmtId="0" fontId="29" fillId="22" borderId="27" xfId="0" applyFont="1" applyFill="1" applyBorder="1"/>
    <xf numFmtId="0" fontId="29" fillId="0" borderId="36" xfId="0" applyFont="1" applyBorder="1" applyAlignment="1">
      <alignment vertical="center"/>
    </xf>
    <xf numFmtId="0" fontId="27" fillId="0" borderId="34" xfId="0" applyFont="1" applyBorder="1" applyAlignment="1">
      <alignment horizontal="center"/>
    </xf>
    <xf numFmtId="0" fontId="27" fillId="0" borderId="34" xfId="0" applyFont="1" applyBorder="1" applyAlignment="1">
      <alignment horizontal="center" vertical="center"/>
    </xf>
    <xf numFmtId="0" fontId="27" fillId="0" borderId="38" xfId="0" applyFont="1" applyBorder="1" applyAlignment="1">
      <alignment wrapText="1"/>
    </xf>
    <xf numFmtId="0" fontId="8" fillId="0" borderId="30" xfId="0" applyFont="1" applyBorder="1" applyAlignment="1">
      <alignment horizontal="center" vertical="center"/>
    </xf>
    <xf numFmtId="0" fontId="8" fillId="0" borderId="26" xfId="0" applyFont="1" applyBorder="1" applyAlignment="1">
      <alignment horizontal="center" vertical="center" wrapText="1"/>
    </xf>
    <xf numFmtId="0" fontId="13" fillId="0" borderId="0" xfId="0" applyFont="1" applyAlignment="1">
      <alignment horizontal="center" vertical="center" wrapText="1"/>
    </xf>
    <xf numFmtId="0" fontId="27" fillId="4" borderId="38" xfId="0" applyFont="1" applyFill="1" applyBorder="1"/>
    <xf numFmtId="0" fontId="27" fillId="0" borderId="37" xfId="0" applyFont="1" applyBorder="1" applyAlignment="1">
      <alignment horizontal="center" vertical="center"/>
    </xf>
    <xf numFmtId="0" fontId="27" fillId="0" borderId="64" xfId="0" applyFont="1" applyBorder="1"/>
    <xf numFmtId="0" fontId="29" fillId="0" borderId="64" xfId="0" applyFont="1" applyBorder="1"/>
    <xf numFmtId="0" fontId="27" fillId="4" borderId="64" xfId="0" applyFont="1" applyFill="1" applyBorder="1"/>
    <xf numFmtId="0" fontId="27" fillId="0" borderId="64" xfId="0" applyFont="1" applyBorder="1" applyAlignment="1">
      <alignment horizontal="center"/>
    </xf>
    <xf numFmtId="0" fontId="29" fillId="0" borderId="64" xfId="0" applyFont="1" applyBorder="1" applyAlignment="1">
      <alignment horizontal="center" vertical="center"/>
    </xf>
    <xf numFmtId="0" fontId="27" fillId="0" borderId="67" xfId="0" applyFont="1" applyBorder="1"/>
    <xf numFmtId="0" fontId="29" fillId="0" borderId="67" xfId="0" applyFont="1" applyBorder="1"/>
    <xf numFmtId="0" fontId="27" fillId="0" borderId="67" xfId="0" applyFont="1" applyBorder="1" applyAlignment="1">
      <alignment horizontal="center"/>
    </xf>
    <xf numFmtId="0" fontId="29" fillId="0" borderId="67" xfId="0" applyFont="1" applyBorder="1" applyAlignment="1">
      <alignment horizontal="center" vertical="center"/>
    </xf>
    <xf numFmtId="0" fontId="3" fillId="0" borderId="32" xfId="0" applyFont="1" applyBorder="1" applyAlignment="1">
      <alignment wrapText="1"/>
    </xf>
    <xf numFmtId="0" fontId="18" fillId="0" borderId="28" xfId="0" applyFont="1" applyBorder="1" applyAlignment="1">
      <alignment wrapText="1"/>
    </xf>
    <xf numFmtId="0" fontId="18" fillId="0" borderId="34" xfId="0" applyFont="1" applyBorder="1" applyAlignment="1">
      <alignment wrapText="1"/>
    </xf>
    <xf numFmtId="0" fontId="26" fillId="0" borderId="28" xfId="0" applyFont="1" applyBorder="1" applyAlignment="1">
      <alignment vertical="center"/>
    </xf>
    <xf numFmtId="0" fontId="0" fillId="11" borderId="52" xfId="0" applyFill="1" applyBorder="1" applyAlignment="1">
      <alignment horizontal="center" vertical="center"/>
    </xf>
    <xf numFmtId="0" fontId="0" fillId="0" borderId="52" xfId="0" applyBorder="1" applyAlignment="1">
      <alignment horizontal="center" vertical="center"/>
    </xf>
    <xf numFmtId="0" fontId="3" fillId="0" borderId="5" xfId="0" applyFont="1" applyBorder="1"/>
    <xf numFmtId="0" fontId="3" fillId="0" borderId="38" xfId="0" applyFont="1" applyBorder="1" applyAlignment="1">
      <alignment horizontal="right" wrapText="1"/>
    </xf>
    <xf numFmtId="0" fontId="27" fillId="0" borderId="36" xfId="0" applyFont="1" applyBorder="1" applyAlignment="1">
      <alignment vertical="center"/>
    </xf>
    <xf numFmtId="0" fontId="0" fillId="0" borderId="36" xfId="0" applyBorder="1" applyAlignment="1">
      <alignment horizontal="center"/>
    </xf>
    <xf numFmtId="0" fontId="0" fillId="0" borderId="39" xfId="0" applyBorder="1"/>
    <xf numFmtId="0" fontId="0" fillId="0" borderId="30" xfId="0" applyBorder="1" applyAlignment="1">
      <alignment horizontal="center"/>
    </xf>
    <xf numFmtId="0" fontId="0" fillId="11" borderId="27" xfId="0" applyFill="1" applyBorder="1" applyAlignment="1">
      <alignment horizontal="center"/>
    </xf>
    <xf numFmtId="0" fontId="8" fillId="21" borderId="28" xfId="0" applyFont="1" applyFill="1" applyBorder="1" applyAlignment="1">
      <alignment horizontal="center"/>
    </xf>
    <xf numFmtId="0" fontId="8" fillId="21" borderId="27" xfId="0" applyFont="1" applyFill="1" applyBorder="1" applyAlignment="1">
      <alignment horizontal="center"/>
    </xf>
    <xf numFmtId="0" fontId="8" fillId="21" borderId="56" xfId="0" applyFont="1" applyFill="1" applyBorder="1" applyAlignment="1">
      <alignment horizontal="center"/>
    </xf>
    <xf numFmtId="0" fontId="27" fillId="21" borderId="27" xfId="0" applyFont="1" applyFill="1" applyBorder="1"/>
    <xf numFmtId="0" fontId="27" fillId="21" borderId="27" xfId="0" applyFont="1" applyFill="1" applyBorder="1" applyAlignment="1">
      <alignment horizontal="center"/>
    </xf>
    <xf numFmtId="0" fontId="30" fillId="21" borderId="27" xfId="0" applyFont="1" applyFill="1" applyBorder="1" applyAlignment="1">
      <alignment horizontal="center" vertical="center"/>
    </xf>
    <xf numFmtId="0" fontId="3" fillId="0" borderId="29" xfId="0" applyFont="1" applyBorder="1" applyAlignment="1">
      <alignment vertical="center" wrapText="1"/>
    </xf>
    <xf numFmtId="0" fontId="8" fillId="21" borderId="51" xfId="0" applyFont="1" applyFill="1" applyBorder="1" applyAlignment="1">
      <alignment horizontal="center" vertical="center" wrapText="1"/>
    </xf>
    <xf numFmtId="0" fontId="8" fillId="21" borderId="34" xfId="0" applyFont="1" applyFill="1" applyBorder="1" applyAlignment="1">
      <alignment horizontal="center" vertical="center" wrapText="1"/>
    </xf>
    <xf numFmtId="0" fontId="27" fillId="0" borderId="39" xfId="0" applyFont="1" applyBorder="1" applyAlignment="1">
      <alignment horizontal="center" vertical="center"/>
    </xf>
    <xf numFmtId="0" fontId="16" fillId="0" borderId="27" xfId="0" applyFont="1" applyBorder="1" applyAlignment="1">
      <alignment horizontal="center" vertical="center"/>
    </xf>
    <xf numFmtId="0" fontId="1" fillId="0" borderId="27" xfId="0" applyFont="1" applyBorder="1" applyAlignment="1">
      <alignment horizontal="left" vertical="center" wrapText="1"/>
    </xf>
    <xf numFmtId="0" fontId="30" fillId="0" borderId="0" xfId="0" applyFont="1" applyAlignment="1">
      <alignment wrapText="1"/>
    </xf>
    <xf numFmtId="0" fontId="21" fillId="0" borderId="34" xfId="0" applyFont="1" applyBorder="1" applyAlignment="1">
      <alignment horizontal="center"/>
    </xf>
    <xf numFmtId="0" fontId="8" fillId="7" borderId="15" xfId="0" applyFont="1" applyFill="1" applyBorder="1"/>
    <xf numFmtId="0" fontId="8" fillId="7" borderId="0" xfId="0" applyFont="1" applyFill="1" applyAlignment="1">
      <alignment horizontal="center"/>
    </xf>
    <xf numFmtId="0" fontId="8" fillId="7" borderId="27" xfId="0" applyFont="1" applyFill="1" applyBorder="1" applyAlignment="1">
      <alignment horizontal="center" vertical="center"/>
    </xf>
    <xf numFmtId="0" fontId="27" fillId="7" borderId="27" xfId="0" applyFont="1" applyFill="1" applyBorder="1"/>
    <xf numFmtId="0" fontId="27" fillId="7" borderId="26" xfId="0" applyFont="1" applyFill="1" applyBorder="1"/>
    <xf numFmtId="0" fontId="27" fillId="7" borderId="7" xfId="0" applyFont="1" applyFill="1" applyBorder="1"/>
    <xf numFmtId="0" fontId="27" fillId="7" borderId="7" xfId="0" applyFont="1" applyFill="1" applyBorder="1" applyAlignment="1">
      <alignment horizontal="center"/>
    </xf>
    <xf numFmtId="0" fontId="27" fillId="7" borderId="26" xfId="0" applyFont="1" applyFill="1" applyBorder="1" applyAlignment="1">
      <alignment horizontal="center"/>
    </xf>
    <xf numFmtId="0" fontId="27" fillId="7" borderId="27" xfId="0" applyFont="1" applyFill="1" applyBorder="1" applyAlignment="1">
      <alignment horizontal="center"/>
    </xf>
    <xf numFmtId="0" fontId="0" fillId="7" borderId="0" xfId="0" applyFill="1"/>
    <xf numFmtId="0" fontId="0" fillId="24" borderId="27" xfId="0" applyFill="1" applyBorder="1"/>
    <xf numFmtId="14" fontId="0" fillId="0" borderId="27" xfId="0" applyNumberFormat="1" applyBorder="1"/>
    <xf numFmtId="0" fontId="2" fillId="0" borderId="27" xfId="0" applyFont="1" applyBorder="1" applyAlignment="1">
      <alignment horizontal="center" vertical="center"/>
    </xf>
    <xf numFmtId="0" fontId="2" fillId="0" borderId="36" xfId="0" applyFont="1" applyBorder="1" applyAlignment="1">
      <alignment horizontal="center" vertical="center"/>
    </xf>
    <xf numFmtId="0" fontId="0" fillId="24" borderId="27" xfId="0" applyFill="1" applyBorder="1" applyAlignment="1">
      <alignment vertical="center"/>
    </xf>
    <xf numFmtId="0" fontId="0" fillId="24" borderId="27" xfId="0" applyFill="1" applyBorder="1" applyAlignment="1">
      <alignment vertical="center" wrapText="1"/>
    </xf>
    <xf numFmtId="0" fontId="8" fillId="0" borderId="64" xfId="0" applyFont="1" applyBorder="1" applyAlignment="1">
      <alignment horizontal="center" vertical="center"/>
    </xf>
    <xf numFmtId="0" fontId="8" fillId="0" borderId="67" xfId="0" applyFont="1" applyBorder="1" applyAlignment="1">
      <alignment horizontal="center" vertical="center"/>
    </xf>
    <xf numFmtId="0" fontId="23" fillId="0" borderId="27" xfId="1" applyBorder="1" applyAlignment="1">
      <alignment horizontal="left" vertical="center" wrapText="1"/>
    </xf>
    <xf numFmtId="0" fontId="30" fillId="0" borderId="36" xfId="0" applyFont="1" applyBorder="1" applyAlignment="1">
      <alignment horizontal="left" vertical="center" wrapText="1"/>
    </xf>
    <xf numFmtId="0" fontId="23" fillId="0" borderId="27" xfId="1" applyBorder="1" applyAlignment="1">
      <alignment wrapText="1"/>
    </xf>
    <xf numFmtId="0" fontId="30" fillId="0" borderId="36" xfId="0" applyFont="1" applyBorder="1" applyAlignment="1">
      <alignment wrapText="1"/>
    </xf>
    <xf numFmtId="0" fontId="32" fillId="0" borderId="36" xfId="1" applyFont="1" applyBorder="1" applyAlignment="1">
      <alignment wrapText="1"/>
    </xf>
    <xf numFmtId="0" fontId="27" fillId="0" borderId="34" xfId="0" applyFont="1" applyBorder="1" applyAlignment="1">
      <alignment vertical="center"/>
    </xf>
    <xf numFmtId="0" fontId="27" fillId="22" borderId="0" xfId="0" applyFont="1" applyFill="1"/>
    <xf numFmtId="0" fontId="27" fillId="0" borderId="0" xfId="0" applyFont="1" applyAlignment="1">
      <alignment vertical="center"/>
    </xf>
    <xf numFmtId="0" fontId="27" fillId="0" borderId="75" xfId="0" applyFont="1" applyBorder="1"/>
    <xf numFmtId="0" fontId="27" fillId="0" borderId="76" xfId="0" applyFont="1" applyBorder="1"/>
    <xf numFmtId="0" fontId="2" fillId="6" borderId="11" xfId="0" applyFont="1" applyFill="1" applyBorder="1" applyAlignment="1">
      <alignment vertical="center" wrapText="1"/>
    </xf>
    <xf numFmtId="0" fontId="2" fillId="6" borderId="11" xfId="0" applyFont="1" applyFill="1" applyBorder="1" applyAlignment="1">
      <alignment horizontal="center" vertical="center" wrapText="1"/>
    </xf>
    <xf numFmtId="0" fontId="2" fillId="6" borderId="25" xfId="0" applyFont="1" applyFill="1" applyBorder="1" applyAlignment="1">
      <alignment vertical="center" wrapText="1"/>
    </xf>
    <xf numFmtId="0" fontId="27" fillId="23" borderId="34" xfId="0" applyFont="1" applyFill="1" applyBorder="1" applyAlignment="1">
      <alignment horizontal="center"/>
    </xf>
    <xf numFmtId="0" fontId="2" fillId="6" borderId="25" xfId="0" applyFont="1" applyFill="1" applyBorder="1" applyAlignment="1">
      <alignment horizontal="center" vertical="center" wrapText="1"/>
    </xf>
    <xf numFmtId="0" fontId="27" fillId="23" borderId="42" xfId="0" applyFont="1" applyFill="1" applyBorder="1" applyAlignment="1">
      <alignment horizontal="center" vertical="center"/>
    </xf>
    <xf numFmtId="0" fontId="27" fillId="23" borderId="27" xfId="0" applyFont="1" applyFill="1" applyBorder="1" applyAlignment="1">
      <alignment horizontal="center" vertical="center"/>
    </xf>
    <xf numFmtId="0" fontId="27" fillId="22" borderId="42" xfId="0" applyFont="1" applyFill="1" applyBorder="1" applyAlignment="1">
      <alignment horizontal="center" vertical="center"/>
    </xf>
    <xf numFmtId="0" fontId="27" fillId="7" borderId="42" xfId="0" applyFont="1" applyFill="1" applyBorder="1" applyAlignment="1">
      <alignment horizontal="center" vertical="center"/>
    </xf>
    <xf numFmtId="0" fontId="27" fillId="0" borderId="64" xfId="0" applyFont="1" applyBorder="1" applyAlignment="1">
      <alignment horizontal="center" vertical="center"/>
    </xf>
    <xf numFmtId="0" fontId="27" fillId="0" borderId="67" xfId="0" applyFont="1" applyBorder="1" applyAlignment="1">
      <alignment horizontal="center" vertical="center"/>
    </xf>
    <xf numFmtId="0" fontId="7" fillId="0" borderId="0" xfId="0" applyFont="1" applyAlignment="1">
      <alignment horizontal="center" vertical="center"/>
    </xf>
    <xf numFmtId="0" fontId="27" fillId="22" borderId="27" xfId="0" applyFont="1" applyFill="1" applyBorder="1" applyAlignment="1">
      <alignment horizontal="center" vertical="center"/>
    </xf>
    <xf numFmtId="0" fontId="2" fillId="25" borderId="27" xfId="0" applyFont="1" applyFill="1" applyBorder="1" applyAlignment="1">
      <alignment horizontal="center"/>
    </xf>
    <xf numFmtId="0" fontId="2" fillId="26" borderId="27" xfId="0" applyFont="1" applyFill="1" applyBorder="1" applyAlignment="1">
      <alignment horizontal="center"/>
    </xf>
    <xf numFmtId="0" fontId="2" fillId="26" borderId="27" xfId="0" applyFont="1" applyFill="1" applyBorder="1" applyAlignment="1">
      <alignment horizontal="center" vertical="center"/>
    </xf>
    <xf numFmtId="0" fontId="27" fillId="7" borderId="27" xfId="0" applyFont="1" applyFill="1" applyBorder="1" applyAlignment="1">
      <alignment horizontal="center" vertical="center"/>
    </xf>
    <xf numFmtId="0" fontId="27" fillId="27" borderId="0" xfId="0" applyFont="1" applyFill="1"/>
    <xf numFmtId="0" fontId="8" fillId="27" borderId="15" xfId="0" applyFont="1" applyFill="1" applyBorder="1" applyAlignment="1">
      <alignment vertical="center"/>
    </xf>
    <xf numFmtId="0" fontId="8" fillId="27" borderId="0" xfId="0" applyFont="1" applyFill="1" applyAlignment="1">
      <alignment horizontal="center" vertical="center"/>
    </xf>
    <xf numFmtId="0" fontId="8" fillId="27" borderId="27" xfId="0" applyFont="1" applyFill="1" applyBorder="1" applyAlignment="1">
      <alignment horizontal="center" vertical="center"/>
    </xf>
    <xf numFmtId="0" fontId="27" fillId="27" borderId="27" xfId="0" applyFont="1" applyFill="1" applyBorder="1" applyAlignment="1">
      <alignment vertical="center"/>
    </xf>
    <xf numFmtId="0" fontId="29" fillId="27" borderId="27" xfId="0" applyFont="1" applyFill="1" applyBorder="1" applyAlignment="1">
      <alignment vertical="center"/>
    </xf>
    <xf numFmtId="0" fontId="27" fillId="27" borderId="27" xfId="0" applyFont="1" applyFill="1" applyBorder="1" applyAlignment="1">
      <alignment vertical="center" wrapText="1"/>
    </xf>
    <xf numFmtId="0" fontId="27" fillId="27" borderId="27" xfId="0" applyFont="1" applyFill="1" applyBorder="1" applyAlignment="1">
      <alignment horizontal="center" vertical="center"/>
    </xf>
    <xf numFmtId="0" fontId="27" fillId="27" borderId="0" xfId="0" applyFont="1" applyFill="1" applyAlignment="1">
      <alignment horizontal="center" vertical="center"/>
    </xf>
    <xf numFmtId="0" fontId="0" fillId="27" borderId="0" xfId="0" applyFill="1" applyAlignment="1">
      <alignment vertical="center"/>
    </xf>
    <xf numFmtId="0" fontId="27" fillId="0" borderId="28" xfId="0" applyFont="1" applyBorder="1" applyAlignment="1">
      <alignment horizontal="center" vertical="center"/>
    </xf>
    <xf numFmtId="0" fontId="0" fillId="21" borderId="0" xfId="0" applyFill="1" applyAlignment="1">
      <alignment horizontal="center" vertical="center"/>
    </xf>
    <xf numFmtId="0" fontId="3" fillId="0" borderId="36" xfId="0" applyFont="1" applyBorder="1" applyAlignment="1">
      <alignment vertical="center" wrapText="1"/>
    </xf>
    <xf numFmtId="0" fontId="3" fillId="0" borderId="50" xfId="0" applyFont="1" applyBorder="1" applyAlignment="1">
      <alignment vertical="center" wrapText="1"/>
    </xf>
    <xf numFmtId="0" fontId="0" fillId="0" borderId="63" xfId="0" applyBorder="1" applyAlignment="1">
      <alignment horizontal="center" vertical="center"/>
    </xf>
    <xf numFmtId="0" fontId="0" fillId="0" borderId="34" xfId="0" applyBorder="1" applyAlignment="1">
      <alignment vertical="center"/>
    </xf>
    <xf numFmtId="0" fontId="19" fillId="0" borderId="38" xfId="0" applyFont="1" applyBorder="1" applyAlignment="1">
      <alignment vertical="center" wrapText="1"/>
    </xf>
    <xf numFmtId="0" fontId="0" fillId="11" borderId="28" xfId="0" applyFill="1" applyBorder="1" applyAlignment="1">
      <alignment horizontal="center"/>
    </xf>
    <xf numFmtId="0" fontId="16" fillId="0" borderId="0" xfId="0" applyFont="1" applyAlignment="1">
      <alignment vertical="center"/>
    </xf>
    <xf numFmtId="0" fontId="19" fillId="0" borderId="27" xfId="0" applyFont="1" applyBorder="1" applyAlignment="1">
      <alignment vertical="center" wrapText="1"/>
    </xf>
    <xf numFmtId="0" fontId="19" fillId="0" borderId="9" xfId="0" applyFont="1" applyBorder="1" applyAlignment="1">
      <alignment vertical="center" wrapText="1"/>
    </xf>
    <xf numFmtId="0" fontId="19" fillId="0" borderId="2" xfId="0" applyFont="1" applyBorder="1" applyAlignment="1">
      <alignment vertical="center" wrapText="1"/>
    </xf>
    <xf numFmtId="0" fontId="16" fillId="11" borderId="52" xfId="0" applyFont="1" applyFill="1" applyBorder="1" applyAlignment="1">
      <alignment horizontal="center" vertical="center"/>
    </xf>
    <xf numFmtId="0" fontId="16" fillId="0" borderId="27" xfId="0" applyFont="1" applyBorder="1" applyAlignment="1">
      <alignment vertical="center"/>
    </xf>
    <xf numFmtId="0" fontId="16" fillId="11" borderId="0" xfId="0" applyFont="1" applyFill="1" applyAlignment="1">
      <alignment vertical="center"/>
    </xf>
    <xf numFmtId="0" fontId="4" fillId="27" borderId="19" xfId="0" applyFont="1" applyFill="1" applyBorder="1" applyAlignment="1">
      <alignment vertical="center"/>
    </xf>
    <xf numFmtId="0" fontId="0" fillId="27" borderId="19" xfId="0" applyFill="1" applyBorder="1" applyAlignment="1">
      <alignment horizontal="center" vertical="center"/>
    </xf>
    <xf numFmtId="0" fontId="4" fillId="27" borderId="19" xfId="0" applyFont="1" applyFill="1" applyBorder="1" applyAlignment="1">
      <alignment vertical="center" wrapText="1"/>
    </xf>
    <xf numFmtId="0" fontId="0" fillId="27" borderId="27" xfId="0" applyFill="1" applyBorder="1" applyAlignment="1">
      <alignment horizontal="center" vertical="center"/>
    </xf>
    <xf numFmtId="0" fontId="0" fillId="27" borderId="18" xfId="0" applyFill="1" applyBorder="1" applyAlignment="1">
      <alignment vertical="center"/>
    </xf>
    <xf numFmtId="0" fontId="0" fillId="27" borderId="19" xfId="0" applyFill="1" applyBorder="1" applyAlignment="1">
      <alignment vertical="center"/>
    </xf>
    <xf numFmtId="0" fontId="0" fillId="27" borderId="19" xfId="0" applyFill="1" applyBorder="1" applyAlignment="1">
      <alignment vertical="center" wrapText="1"/>
    </xf>
    <xf numFmtId="0" fontId="3" fillId="27" borderId="19" xfId="0" applyFont="1" applyFill="1" applyBorder="1" applyAlignment="1">
      <alignment vertical="center"/>
    </xf>
    <xf numFmtId="0" fontId="0" fillId="27" borderId="20" xfId="0" applyFill="1" applyBorder="1" applyAlignment="1">
      <alignment vertical="center"/>
    </xf>
    <xf numFmtId="0" fontId="0" fillId="27" borderId="27" xfId="0" applyFill="1" applyBorder="1" applyAlignment="1">
      <alignment vertical="center"/>
    </xf>
    <xf numFmtId="0" fontId="0" fillId="27" borderId="27" xfId="0" applyFill="1" applyBorder="1" applyAlignment="1">
      <alignment vertical="center" wrapText="1"/>
    </xf>
    <xf numFmtId="0" fontId="27" fillId="23" borderId="9" xfId="0" applyFont="1" applyFill="1" applyBorder="1" applyAlignment="1">
      <alignment vertical="center"/>
    </xf>
    <xf numFmtId="0" fontId="27" fillId="22" borderId="28" xfId="0" applyFont="1" applyFill="1" applyBorder="1" applyAlignment="1">
      <alignment vertical="center"/>
    </xf>
    <xf numFmtId="0" fontId="27" fillId="7" borderId="27" xfId="0" applyFont="1" applyFill="1" applyBorder="1" applyAlignment="1">
      <alignment vertical="center"/>
    </xf>
    <xf numFmtId="0" fontId="29" fillId="0" borderId="64" xfId="0" applyFont="1" applyBorder="1" applyAlignment="1">
      <alignment vertical="center"/>
    </xf>
    <xf numFmtId="0" fontId="29" fillId="0" borderId="67" xfId="0" applyFont="1" applyBorder="1" applyAlignment="1">
      <alignment vertical="center"/>
    </xf>
    <xf numFmtId="0" fontId="7" fillId="0" borderId="0" xfId="0" applyFont="1" applyAlignment="1">
      <alignment vertical="center"/>
    </xf>
    <xf numFmtId="0" fontId="7" fillId="0" borderId="0" xfId="0" applyFont="1" applyAlignment="1">
      <alignment vertical="center" wrapText="1"/>
    </xf>
    <xf numFmtId="0" fontId="27" fillId="27" borderId="34" xfId="0" applyFont="1" applyFill="1" applyBorder="1" applyAlignment="1">
      <alignment horizontal="center" vertical="center"/>
    </xf>
    <xf numFmtId="0" fontId="27" fillId="15" borderId="34" xfId="0" applyFont="1" applyFill="1" applyBorder="1" applyAlignment="1">
      <alignment horizontal="center"/>
    </xf>
    <xf numFmtId="0" fontId="3" fillId="0" borderId="35" xfId="0" applyFont="1" applyBorder="1" applyAlignment="1">
      <alignment vertical="center" wrapText="1"/>
    </xf>
    <xf numFmtId="0" fontId="0" fillId="24" borderId="0" xfId="0" applyFill="1" applyAlignment="1">
      <alignment horizontal="center" vertical="center"/>
    </xf>
    <xf numFmtId="0" fontId="0" fillId="3" borderId="36" xfId="0" applyFill="1" applyBorder="1" applyAlignment="1">
      <alignment vertical="center"/>
    </xf>
    <xf numFmtId="0" fontId="27" fillId="4" borderId="27" xfId="0" applyFont="1" applyFill="1" applyBorder="1" applyAlignment="1">
      <alignment horizontal="center" vertical="center"/>
    </xf>
    <xf numFmtId="14" fontId="0" fillId="0" borderId="0" xfId="0" applyNumberFormat="1" applyAlignment="1">
      <alignment horizontal="center" vertical="center"/>
    </xf>
    <xf numFmtId="0" fontId="2" fillId="0" borderId="28" xfId="0" applyFont="1" applyBorder="1" applyAlignment="1">
      <alignment horizontal="center" vertical="center"/>
    </xf>
    <xf numFmtId="14" fontId="0" fillId="0" borderId="28" xfId="0" applyNumberFormat="1" applyBorder="1" applyAlignment="1">
      <alignment horizontal="center" vertical="center"/>
    </xf>
    <xf numFmtId="14" fontId="0" fillId="0" borderId="27" xfId="0" applyNumberFormat="1" applyBorder="1" applyAlignment="1">
      <alignment horizontal="center" vertical="center"/>
    </xf>
    <xf numFmtId="0" fontId="0" fillId="11" borderId="48" xfId="0" applyFill="1" applyBorder="1" applyAlignment="1">
      <alignment horizontal="center"/>
    </xf>
    <xf numFmtId="0" fontId="0" fillId="0" borderId="58" xfId="0" applyBorder="1" applyAlignment="1">
      <alignment horizontal="center" vertical="center" wrapText="1"/>
    </xf>
    <xf numFmtId="0" fontId="0" fillId="0" borderId="34" xfId="0" applyBorder="1" applyAlignment="1">
      <alignment vertical="center" wrapText="1"/>
    </xf>
    <xf numFmtId="0" fontId="0" fillId="0" borderId="36" xfId="0" applyBorder="1" applyAlignment="1">
      <alignment vertical="center"/>
    </xf>
    <xf numFmtId="0" fontId="0" fillId="0" borderId="37" xfId="0" applyBorder="1" applyAlignment="1">
      <alignment vertical="center"/>
    </xf>
    <xf numFmtId="0" fontId="8" fillId="0" borderId="35" xfId="0" applyFont="1" applyBorder="1" applyAlignment="1">
      <alignment horizontal="center" vertical="center"/>
    </xf>
    <xf numFmtId="0" fontId="8" fillId="18" borderId="37" xfId="0" applyFont="1" applyFill="1" applyBorder="1" applyAlignment="1">
      <alignment horizontal="center" vertical="center"/>
    </xf>
    <xf numFmtId="0" fontId="0" fillId="0" borderId="49" xfId="0" applyBorder="1" applyAlignment="1">
      <alignment horizontal="center" vertical="center" wrapText="1"/>
    </xf>
    <xf numFmtId="0" fontId="17" fillId="0" borderId="27" xfId="0" applyFont="1" applyBorder="1" applyAlignment="1">
      <alignment horizontal="center" vertical="center"/>
    </xf>
    <xf numFmtId="0" fontId="0" fillId="0" borderId="51" xfId="0" applyBorder="1" applyAlignment="1">
      <alignment horizontal="center" vertical="center" wrapText="1"/>
    </xf>
    <xf numFmtId="0" fontId="3" fillId="0" borderId="58" xfId="0" applyFont="1" applyBorder="1" applyAlignment="1">
      <alignment wrapText="1"/>
    </xf>
    <xf numFmtId="0" fontId="0" fillId="0" borderId="29" xfId="0" applyBorder="1" applyAlignment="1">
      <alignment horizontal="center" vertical="center" wrapText="1"/>
    </xf>
    <xf numFmtId="0" fontId="3" fillId="0" borderId="8" xfId="0" applyFont="1" applyBorder="1"/>
    <xf numFmtId="0" fontId="3" fillId="0" borderId="51" xfId="0" applyFont="1" applyBorder="1" applyAlignment="1">
      <alignment wrapText="1"/>
    </xf>
    <xf numFmtId="0" fontId="0" fillId="5" borderId="51" xfId="0" applyFill="1" applyBorder="1" applyAlignment="1">
      <alignment horizontal="center" vertical="center"/>
    </xf>
    <xf numFmtId="0" fontId="0" fillId="5" borderId="49" xfId="0" applyFill="1" applyBorder="1" applyAlignment="1">
      <alignment horizontal="center" vertical="center"/>
    </xf>
    <xf numFmtId="0" fontId="0" fillId="5" borderId="29" xfId="0" applyFill="1" applyBorder="1" applyAlignment="1">
      <alignment horizontal="center" vertical="center"/>
    </xf>
    <xf numFmtId="0" fontId="0" fillId="5" borderId="28" xfId="0" applyFill="1" applyBorder="1" applyAlignment="1">
      <alignment horizontal="center" vertical="center"/>
    </xf>
    <xf numFmtId="0" fontId="24" fillId="0" borderId="27" xfId="0" applyFont="1" applyBorder="1" applyAlignment="1">
      <alignment horizontal="center" vertical="center"/>
    </xf>
    <xf numFmtId="0" fontId="27" fillId="0" borderId="44" xfId="0" applyFont="1" applyBorder="1" applyAlignment="1">
      <alignment vertical="center"/>
    </xf>
    <xf numFmtId="0" fontId="27" fillId="0" borderId="44" xfId="0" applyFont="1" applyBorder="1"/>
    <xf numFmtId="0" fontId="27" fillId="22" borderId="44" xfId="0" applyFont="1" applyFill="1" applyBorder="1"/>
    <xf numFmtId="0" fontId="27" fillId="15" borderId="44" xfId="0" applyFont="1" applyFill="1" applyBorder="1"/>
    <xf numFmtId="0" fontId="27" fillId="15" borderId="0" xfId="0" applyFont="1" applyFill="1"/>
    <xf numFmtId="0" fontId="0" fillId="15" borderId="0" xfId="0" applyFill="1"/>
    <xf numFmtId="0" fontId="3" fillId="0" borderId="52" xfId="0" applyFont="1" applyBorder="1" applyAlignment="1">
      <alignment vertical="center" wrapText="1"/>
    </xf>
    <xf numFmtId="0" fontId="3" fillId="0" borderId="53" xfId="0" applyFont="1" applyBorder="1"/>
    <xf numFmtId="0" fontId="0" fillId="11" borderId="35" xfId="0" applyFill="1" applyBorder="1" applyAlignment="1">
      <alignment horizontal="center" vertical="center"/>
    </xf>
    <xf numFmtId="0" fontId="23" fillId="0" borderId="27" xfId="1" applyBorder="1" applyAlignment="1">
      <alignment horizontal="left" wrapText="1"/>
    </xf>
    <xf numFmtId="0" fontId="36" fillId="0" borderId="27" xfId="0" applyFont="1" applyBorder="1" applyAlignment="1">
      <alignment horizontal="left" vertical="center" wrapText="1"/>
    </xf>
    <xf numFmtId="0" fontId="36" fillId="0" borderId="34" xfId="0" applyFont="1" applyBorder="1" applyAlignment="1">
      <alignment wrapText="1"/>
    </xf>
    <xf numFmtId="0" fontId="36" fillId="0" borderId="27" xfId="0" applyFont="1" applyBorder="1" applyAlignment="1">
      <alignment wrapText="1"/>
    </xf>
    <xf numFmtId="0" fontId="15" fillId="15" borderId="51" xfId="0" applyFont="1" applyFill="1" applyBorder="1" applyAlignment="1">
      <alignment horizontal="left" vertical="center" wrapText="1"/>
    </xf>
    <xf numFmtId="0" fontId="19" fillId="3" borderId="13"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6" fillId="0" borderId="0" xfId="0" applyFont="1" applyAlignment="1">
      <alignment horizontal="center" vertical="center"/>
    </xf>
    <xf numFmtId="0" fontId="17" fillId="6" borderId="11" xfId="0" applyFont="1" applyFill="1" applyBorder="1" applyAlignment="1">
      <alignment horizontal="center" vertical="center" wrapText="1"/>
    </xf>
    <xf numFmtId="0" fontId="19" fillId="11" borderId="2" xfId="0" applyFont="1" applyFill="1" applyBorder="1" applyAlignment="1">
      <alignment horizontal="center" vertical="center" wrapText="1"/>
    </xf>
    <xf numFmtId="0" fontId="19" fillId="0" borderId="27" xfId="0" applyFont="1" applyBorder="1" applyAlignment="1">
      <alignment horizontal="center" vertical="center" wrapText="1"/>
    </xf>
    <xf numFmtId="0" fontId="19" fillId="0" borderId="0" xfId="0" applyFont="1" applyAlignment="1">
      <alignment horizontal="center" vertical="center" wrapText="1"/>
    </xf>
    <xf numFmtId="0" fontId="18" fillId="17" borderId="2" xfId="0" applyFont="1" applyFill="1" applyBorder="1" applyAlignment="1">
      <alignment horizontal="center" vertical="center" wrapText="1"/>
    </xf>
    <xf numFmtId="0" fontId="18" fillId="0" borderId="27" xfId="0" applyFont="1" applyBorder="1" applyAlignment="1">
      <alignment horizontal="center" vertical="center" wrapText="1"/>
    </xf>
    <xf numFmtId="0" fontId="18" fillId="0" borderId="51" xfId="0" applyFont="1" applyBorder="1" applyAlignment="1">
      <alignment horizontal="center" vertical="center" wrapText="1"/>
    </xf>
    <xf numFmtId="0" fontId="18" fillId="20" borderId="7" xfId="0" applyFont="1" applyFill="1" applyBorder="1" applyAlignment="1">
      <alignment horizontal="center" vertical="center" wrapText="1"/>
    </xf>
    <xf numFmtId="0" fontId="19" fillId="19" borderId="0" xfId="0" applyFont="1" applyFill="1" applyAlignment="1">
      <alignment horizontal="center" vertical="center" wrapText="1"/>
    </xf>
    <xf numFmtId="0" fontId="19" fillId="0" borderId="2"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28" xfId="0" applyFont="1" applyBorder="1" applyAlignment="1">
      <alignment horizontal="center" vertical="center" wrapText="1"/>
    </xf>
    <xf numFmtId="0" fontId="16" fillId="21" borderId="0" xfId="0" applyFont="1" applyFill="1" applyAlignment="1">
      <alignment horizontal="center" vertical="center"/>
    </xf>
    <xf numFmtId="0" fontId="27" fillId="0" borderId="42" xfId="0" applyFont="1" applyBorder="1"/>
    <xf numFmtId="0" fontId="29" fillId="0" borderId="28" xfId="0" applyFont="1" applyBorder="1"/>
    <xf numFmtId="0" fontId="29" fillId="7" borderId="42" xfId="0" applyFont="1" applyFill="1" applyBorder="1"/>
    <xf numFmtId="0" fontId="29" fillId="0" borderId="42" xfId="0" applyFont="1" applyBorder="1"/>
    <xf numFmtId="0" fontId="3" fillId="0" borderId="56" xfId="0" applyFont="1" applyBorder="1" applyAlignment="1">
      <alignment vertical="center" wrapText="1"/>
    </xf>
    <xf numFmtId="0" fontId="0" fillId="15" borderId="27" xfId="0" applyFill="1" applyBorder="1" applyAlignment="1">
      <alignment vertical="center"/>
    </xf>
    <xf numFmtId="0" fontId="0" fillId="15" borderId="27" xfId="0" applyFill="1" applyBorder="1" applyAlignment="1">
      <alignment vertical="center" wrapText="1"/>
    </xf>
    <xf numFmtId="0" fontId="19" fillId="14" borderId="27" xfId="0" applyFont="1" applyFill="1" applyBorder="1" applyAlignment="1">
      <alignment wrapText="1"/>
    </xf>
    <xf numFmtId="0" fontId="15" fillId="0" borderId="53" xfId="0" applyFont="1" applyBorder="1" applyAlignment="1">
      <alignment wrapText="1"/>
    </xf>
    <xf numFmtId="0" fontId="18" fillId="20" borderId="5" xfId="0" applyFont="1" applyFill="1" applyBorder="1" applyAlignment="1">
      <alignment horizontal="center" vertical="center" wrapText="1"/>
    </xf>
    <xf numFmtId="0" fontId="18" fillId="0" borderId="38" xfId="0" applyFont="1" applyBorder="1" applyAlignment="1">
      <alignment horizontal="center" vertical="center" wrapText="1"/>
    </xf>
    <xf numFmtId="0" fontId="18" fillId="0" borderId="36" xfId="0" applyFont="1" applyBorder="1" applyAlignment="1">
      <alignment horizontal="center" vertical="center" wrapText="1"/>
    </xf>
    <xf numFmtId="0" fontId="15" fillId="0" borderId="42" xfId="0" applyFont="1" applyBorder="1" applyAlignment="1">
      <alignment wrapText="1"/>
    </xf>
    <xf numFmtId="0" fontId="19" fillId="0" borderId="27" xfId="0" applyFont="1" applyBorder="1" applyAlignment="1">
      <alignment horizontal="center" vertical="center"/>
    </xf>
    <xf numFmtId="0" fontId="3" fillId="0" borderId="28" xfId="0" applyFont="1" applyBorder="1"/>
    <xf numFmtId="0" fontId="3" fillId="0" borderId="43" xfId="0" applyFont="1" applyBorder="1" applyAlignment="1">
      <alignment wrapText="1"/>
    </xf>
    <xf numFmtId="0" fontId="19" fillId="0" borderId="36" xfId="0" applyFont="1" applyBorder="1" applyAlignment="1">
      <alignment horizontal="center" vertical="center"/>
    </xf>
    <xf numFmtId="0" fontId="16" fillId="27" borderId="27" xfId="0" applyFont="1" applyFill="1" applyBorder="1" applyAlignment="1">
      <alignment horizontal="center" vertical="center"/>
    </xf>
    <xf numFmtId="0" fontId="17" fillId="6" borderId="25" xfId="0" applyFont="1" applyFill="1" applyBorder="1" applyAlignment="1">
      <alignment horizontal="center" vertical="center" wrapText="1"/>
    </xf>
    <xf numFmtId="0" fontId="29" fillId="7" borderId="27" xfId="0" applyFont="1" applyFill="1" applyBorder="1" applyAlignment="1">
      <alignment horizontal="center" vertical="center"/>
    </xf>
    <xf numFmtId="0" fontId="29" fillId="7" borderId="0" xfId="0" applyFont="1" applyFill="1" applyAlignment="1">
      <alignment horizontal="center" vertical="center"/>
    </xf>
    <xf numFmtId="0" fontId="29" fillId="0" borderId="26" xfId="0" applyFont="1" applyBorder="1" applyAlignment="1">
      <alignment horizontal="center" vertical="center"/>
    </xf>
    <xf numFmtId="0" fontId="27" fillId="0" borderId="27" xfId="0" applyFont="1" applyBorder="1" applyAlignment="1">
      <alignment horizontal="center" vertical="center" wrapText="1"/>
    </xf>
    <xf numFmtId="0" fontId="30" fillId="0" borderId="27" xfId="0" applyFont="1" applyBorder="1" applyAlignment="1">
      <alignment horizontal="center" vertical="center"/>
    </xf>
    <xf numFmtId="0" fontId="19" fillId="0" borderId="27" xfId="0" applyFont="1" applyBorder="1" applyAlignment="1">
      <alignment horizontal="left" vertical="center" wrapText="1"/>
    </xf>
    <xf numFmtId="0" fontId="3" fillId="22" borderId="27" xfId="0" applyFont="1" applyFill="1" applyBorder="1"/>
    <xf numFmtId="0" fontId="19" fillId="0" borderId="36" xfId="0" applyFont="1" applyBorder="1" applyAlignment="1">
      <alignment horizontal="left" vertical="center" wrapText="1"/>
    </xf>
    <xf numFmtId="0" fontId="19" fillId="0" borderId="34" xfId="0" applyFont="1" applyBorder="1" applyAlignment="1">
      <alignment horizontal="center" vertical="center"/>
    </xf>
    <xf numFmtId="0" fontId="19" fillId="0" borderId="38" xfId="0" applyFont="1" applyBorder="1" applyAlignment="1">
      <alignment horizontal="left" vertical="center" wrapText="1"/>
    </xf>
    <xf numFmtId="0" fontId="19" fillId="0" borderId="38" xfId="0" applyFont="1" applyBorder="1" applyAlignment="1">
      <alignment horizontal="center" vertical="center"/>
    </xf>
    <xf numFmtId="0" fontId="3" fillId="0" borderId="38" xfId="0" applyFont="1" applyBorder="1" applyAlignment="1">
      <alignment horizontal="left" vertical="center" wrapText="1"/>
    </xf>
    <xf numFmtId="0" fontId="19" fillId="0" borderId="36" xfId="0" applyFont="1" applyBorder="1"/>
    <xf numFmtId="0" fontId="19" fillId="0" borderId="27" xfId="0" applyFont="1" applyBorder="1" applyAlignment="1">
      <alignment vertical="center"/>
    </xf>
    <xf numFmtId="0" fontId="18" fillId="22" borderId="27" xfId="0" applyFont="1" applyFill="1" applyBorder="1" applyAlignment="1">
      <alignment wrapText="1"/>
    </xf>
    <xf numFmtId="0" fontId="3" fillId="27" borderId="27" xfId="0" applyFont="1" applyFill="1" applyBorder="1" applyAlignment="1">
      <alignment vertical="center" wrapText="1"/>
    </xf>
    <xf numFmtId="0" fontId="3" fillId="27" borderId="27" xfId="0" applyFont="1" applyFill="1" applyBorder="1" applyAlignment="1">
      <alignment wrapText="1"/>
    </xf>
    <xf numFmtId="0" fontId="19" fillId="27" borderId="27" xfId="0" applyFont="1" applyFill="1" applyBorder="1" applyAlignment="1">
      <alignment vertical="center" wrapText="1"/>
    </xf>
    <xf numFmtId="0" fontId="19" fillId="27" borderId="27" xfId="0" applyFont="1" applyFill="1" applyBorder="1"/>
    <xf numFmtId="0" fontId="3" fillId="27" borderId="27" xfId="0" applyFont="1" applyFill="1" applyBorder="1" applyAlignment="1">
      <alignment vertical="center"/>
    </xf>
    <xf numFmtId="0" fontId="19" fillId="0" borderId="37" xfId="0" applyFont="1" applyBorder="1" applyAlignment="1">
      <alignment wrapText="1"/>
    </xf>
    <xf numFmtId="0" fontId="0" fillId="0" borderId="56" xfId="0" applyBorder="1" applyAlignment="1">
      <alignment horizontal="center" vertical="center"/>
    </xf>
    <xf numFmtId="0" fontId="27" fillId="0" borderId="9" xfId="0" applyFont="1" applyBorder="1" applyAlignment="1">
      <alignment vertical="center"/>
    </xf>
    <xf numFmtId="0" fontId="27" fillId="0" borderId="51" xfId="0" applyFont="1" applyBorder="1" applyAlignment="1">
      <alignment horizontal="left" vertical="center" wrapText="1"/>
    </xf>
    <xf numFmtId="0" fontId="27" fillId="0" borderId="36" xfId="0" applyFont="1" applyBorder="1" applyAlignment="1">
      <alignment horizontal="left" vertical="center" wrapText="1"/>
    </xf>
    <xf numFmtId="0" fontId="29" fillId="0" borderId="29" xfId="0" applyFont="1" applyBorder="1" applyAlignment="1">
      <alignment vertical="center"/>
    </xf>
    <xf numFmtId="0" fontId="29" fillId="0" borderId="37" xfId="0" applyFont="1" applyBorder="1"/>
    <xf numFmtId="0" fontId="27" fillId="0" borderId="9" xfId="0" applyFont="1" applyBorder="1" applyAlignment="1">
      <alignment vertical="center" wrapText="1"/>
    </xf>
    <xf numFmtId="0" fontId="27" fillId="0" borderId="43" xfId="0" applyFont="1" applyBorder="1" applyAlignment="1">
      <alignment vertical="center" wrapText="1"/>
    </xf>
    <xf numFmtId="0" fontId="27" fillId="0" borderId="28" xfId="0" applyFont="1" applyBorder="1" applyAlignment="1">
      <alignment vertical="center"/>
    </xf>
    <xf numFmtId="0" fontId="27" fillId="0" borderId="29" xfId="0" applyFont="1" applyBorder="1" applyAlignment="1">
      <alignment vertical="center"/>
    </xf>
    <xf numFmtId="0" fontId="19" fillId="0" borderId="37" xfId="0" applyFont="1" applyBorder="1" applyAlignment="1">
      <alignment horizontal="center" vertical="center" wrapText="1"/>
    </xf>
    <xf numFmtId="0" fontId="3" fillId="0" borderId="38" xfId="0" applyFont="1" applyBorder="1" applyAlignment="1">
      <alignment horizontal="left" wrapText="1"/>
    </xf>
    <xf numFmtId="0" fontId="15" fillId="27" borderId="27" xfId="0" applyFont="1" applyFill="1" applyBorder="1" applyAlignment="1">
      <alignment vertical="center" wrapText="1"/>
    </xf>
    <xf numFmtId="0" fontId="15" fillId="11" borderId="9" xfId="0" applyFont="1" applyFill="1" applyBorder="1" applyAlignment="1">
      <alignment vertical="center" wrapText="1"/>
    </xf>
    <xf numFmtId="0" fontId="15" fillId="11" borderId="2" xfId="0" applyFont="1" applyFill="1" applyBorder="1" applyAlignment="1">
      <alignment vertical="center" wrapText="1"/>
    </xf>
    <xf numFmtId="0" fontId="27" fillId="0" borderId="2" xfId="0" applyFont="1" applyBorder="1" applyAlignment="1">
      <alignment vertical="center"/>
    </xf>
    <xf numFmtId="0" fontId="27" fillId="0" borderId="0" xfId="0" applyFont="1" applyAlignment="1">
      <alignment horizontal="center" wrapText="1"/>
    </xf>
    <xf numFmtId="0" fontId="27" fillId="0" borderId="0" xfId="0" applyFont="1" applyAlignment="1">
      <alignment wrapText="1"/>
    </xf>
    <xf numFmtId="0" fontId="27" fillId="0" borderId="7" xfId="0" applyFont="1" applyBorder="1" applyAlignment="1">
      <alignment horizontal="center" wrapText="1"/>
    </xf>
    <xf numFmtId="0" fontId="27" fillId="0" borderId="7" xfId="0" applyFont="1" applyBorder="1" applyAlignment="1">
      <alignment horizontal="center" vertical="center" wrapText="1"/>
    </xf>
    <xf numFmtId="0" fontId="27" fillId="23" borderId="7" xfId="0" applyFont="1" applyFill="1" applyBorder="1" applyAlignment="1">
      <alignment horizontal="center" wrapText="1"/>
    </xf>
    <xf numFmtId="0" fontId="27" fillId="0" borderId="27" xfId="0" applyFont="1" applyBorder="1" applyAlignment="1">
      <alignment horizontal="center" wrapText="1"/>
    </xf>
    <xf numFmtId="0" fontId="27" fillId="22" borderId="7" xfId="0" applyFont="1" applyFill="1" applyBorder="1" applyAlignment="1">
      <alignment horizontal="center" wrapText="1"/>
    </xf>
    <xf numFmtId="0" fontId="27" fillId="0" borderId="33" xfId="0" applyFont="1" applyBorder="1" applyAlignment="1">
      <alignment horizontal="center" wrapText="1"/>
    </xf>
    <xf numFmtId="0" fontId="27" fillId="7" borderId="7" xfId="0" applyFont="1" applyFill="1" applyBorder="1" applyAlignment="1">
      <alignment horizontal="center" wrapText="1"/>
    </xf>
    <xf numFmtId="0" fontId="27" fillId="27" borderId="7" xfId="0" applyFont="1" applyFill="1" applyBorder="1" applyAlignment="1">
      <alignment horizontal="center" vertical="center" wrapText="1"/>
    </xf>
    <xf numFmtId="0" fontId="27" fillId="0" borderId="65" xfId="0" applyFont="1" applyBorder="1" applyAlignment="1">
      <alignment horizontal="center" wrapText="1"/>
    </xf>
    <xf numFmtId="0" fontId="27" fillId="0" borderId="66" xfId="0" applyFont="1" applyBorder="1" applyAlignment="1">
      <alignment horizontal="center" wrapText="1"/>
    </xf>
    <xf numFmtId="0" fontId="27" fillId="0" borderId="68" xfId="0" applyFont="1" applyBorder="1" applyAlignment="1">
      <alignment horizontal="center" wrapText="1"/>
    </xf>
    <xf numFmtId="0" fontId="27" fillId="0" borderId="38" xfId="0" applyFont="1" applyBorder="1" applyAlignment="1">
      <alignment horizontal="center" wrapText="1"/>
    </xf>
    <xf numFmtId="0" fontId="27" fillId="21" borderId="27" xfId="0" applyFont="1" applyFill="1" applyBorder="1" applyAlignment="1">
      <alignment horizontal="center" vertical="center" wrapText="1"/>
    </xf>
    <xf numFmtId="0" fontId="27" fillId="18" borderId="27" xfId="0" applyFont="1" applyFill="1" applyBorder="1" applyAlignment="1">
      <alignment horizontal="center" vertical="center" wrapText="1"/>
    </xf>
    <xf numFmtId="0" fontId="27" fillId="21" borderId="27" xfId="0" applyFont="1" applyFill="1" applyBorder="1" applyAlignment="1">
      <alignment horizontal="center" wrapText="1"/>
    </xf>
    <xf numFmtId="0" fontId="7" fillId="0" borderId="0" xfId="0" applyFont="1" applyAlignment="1">
      <alignment horizontal="center" wrapText="1"/>
    </xf>
    <xf numFmtId="0" fontId="30" fillId="0" borderId="0" xfId="0" applyFont="1" applyAlignment="1">
      <alignment horizontal="center" wrapText="1"/>
    </xf>
    <xf numFmtId="0" fontId="29" fillId="0" borderId="38" xfId="0" applyFont="1" applyBorder="1"/>
    <xf numFmtId="0" fontId="35" fillId="0" borderId="27" xfId="0" applyFont="1" applyBorder="1" applyAlignment="1">
      <alignment horizontal="center" vertical="center"/>
    </xf>
    <xf numFmtId="0" fontId="3" fillId="0" borderId="28" xfId="0" applyFont="1" applyBorder="1" applyAlignment="1">
      <alignment vertical="center"/>
    </xf>
    <xf numFmtId="0" fontId="16" fillId="0" borderId="34" xfId="0" applyFont="1" applyBorder="1" applyAlignment="1">
      <alignment horizontal="center" vertical="center"/>
    </xf>
    <xf numFmtId="0" fontId="26" fillId="0" borderId="27" xfId="0" applyFont="1" applyBorder="1" applyAlignment="1">
      <alignment vertical="center"/>
    </xf>
    <xf numFmtId="0" fontId="0" fillId="0" borderId="51" xfId="0" applyBorder="1"/>
    <xf numFmtId="0" fontId="0" fillId="0" borderId="62" xfId="0" applyBorder="1" applyAlignment="1">
      <alignment vertical="center"/>
    </xf>
    <xf numFmtId="0" fontId="0" fillId="0" borderId="60" xfId="0" applyBorder="1" applyAlignment="1">
      <alignment vertical="center"/>
    </xf>
    <xf numFmtId="0" fontId="4" fillId="0" borderId="60" xfId="0" applyFont="1" applyBorder="1" applyAlignment="1">
      <alignment vertical="center"/>
    </xf>
    <xf numFmtId="0" fontId="3" fillId="0" borderId="60" xfId="0" applyFont="1" applyBorder="1" applyAlignment="1">
      <alignment vertical="center"/>
    </xf>
    <xf numFmtId="0" fontId="0" fillId="0" borderId="61" xfId="0" applyBorder="1" applyAlignment="1">
      <alignment horizontal="center" vertical="center"/>
    </xf>
    <xf numFmtId="0" fontId="0" fillId="0" borderId="36" xfId="0" applyBorder="1" applyAlignment="1">
      <alignment vertical="center" wrapText="1"/>
    </xf>
    <xf numFmtId="0" fontId="0" fillId="0" borderId="13" xfId="0" applyBorder="1" applyAlignment="1">
      <alignment vertical="center"/>
    </xf>
    <xf numFmtId="0" fontId="16" fillId="0" borderId="13" xfId="0" applyFont="1" applyBorder="1" applyAlignment="1">
      <alignment horizontal="center" vertical="center"/>
    </xf>
    <xf numFmtId="0" fontId="0" fillId="0" borderId="13" xfId="0" applyBorder="1" applyAlignment="1">
      <alignment horizontal="center" vertical="center"/>
    </xf>
    <xf numFmtId="0" fontId="0" fillId="0" borderId="21" xfId="0" applyBorder="1" applyAlignment="1">
      <alignment vertical="center"/>
    </xf>
    <xf numFmtId="0" fontId="3" fillId="0" borderId="59" xfId="0" applyFont="1" applyBorder="1" applyAlignment="1">
      <alignment horizontal="center" vertical="center"/>
    </xf>
    <xf numFmtId="0" fontId="0" fillId="0" borderId="45" xfId="0" applyBorder="1" applyAlignment="1">
      <alignment horizontal="center" vertical="center"/>
    </xf>
    <xf numFmtId="0" fontId="19" fillId="0" borderId="58" xfId="0" applyFont="1" applyBorder="1" applyAlignment="1">
      <alignment wrapText="1"/>
    </xf>
    <xf numFmtId="0" fontId="16" fillId="0" borderId="27" xfId="0" applyFont="1" applyBorder="1" applyAlignment="1">
      <alignment vertical="center" wrapText="1"/>
    </xf>
    <xf numFmtId="0" fontId="16" fillId="0" borderId="47" xfId="0" applyFont="1" applyBorder="1" applyAlignment="1">
      <alignment vertical="center"/>
    </xf>
    <xf numFmtId="0" fontId="0" fillId="27" borderId="0" xfId="0" applyFill="1" applyAlignment="1">
      <alignment horizontal="center" vertical="center"/>
    </xf>
    <xf numFmtId="0" fontId="27" fillId="27" borderId="0" xfId="0" applyFont="1" applyFill="1" applyAlignment="1">
      <alignment vertical="center"/>
    </xf>
    <xf numFmtId="0" fontId="27" fillId="27" borderId="36" xfId="0" applyFont="1" applyFill="1" applyBorder="1" applyAlignment="1">
      <alignment vertical="center"/>
    </xf>
    <xf numFmtId="0" fontId="34" fillId="27" borderId="26" xfId="0" applyFont="1" applyFill="1" applyBorder="1"/>
    <xf numFmtId="0" fontId="34" fillId="27" borderId="0" xfId="0" applyFont="1" applyFill="1"/>
    <xf numFmtId="0" fontId="27" fillId="27" borderId="44" xfId="0" applyFont="1" applyFill="1" applyBorder="1"/>
    <xf numFmtId="0" fontId="0" fillId="27" borderId="0" xfId="0" applyFill="1"/>
    <xf numFmtId="0" fontId="19" fillId="0" borderId="35" xfId="0" applyFont="1" applyBorder="1" applyAlignment="1">
      <alignment wrapText="1"/>
    </xf>
    <xf numFmtId="0" fontId="29" fillId="0" borderId="0" xfId="0" applyFont="1"/>
    <xf numFmtId="0" fontId="0" fillId="23" borderId="0" xfId="0" applyFill="1" applyAlignment="1">
      <alignment vertical="center"/>
    </xf>
    <xf numFmtId="0" fontId="0" fillId="22" borderId="0" xfId="0" applyFill="1" applyAlignment="1">
      <alignment vertical="center"/>
    </xf>
    <xf numFmtId="0" fontId="0" fillId="7" borderId="0" xfId="0" applyFill="1" applyAlignment="1">
      <alignment vertical="center"/>
    </xf>
    <xf numFmtId="0" fontId="38" fillId="0" borderId="0" xfId="0" applyFont="1"/>
    <xf numFmtId="0" fontId="38" fillId="0" borderId="0" xfId="0" applyFont="1" applyAlignment="1">
      <alignment vertical="center"/>
    </xf>
    <xf numFmtId="0" fontId="37" fillId="0" borderId="27" xfId="0" applyFont="1" applyBorder="1"/>
    <xf numFmtId="0" fontId="3" fillId="0" borderId="30" xfId="0" applyFont="1" applyBorder="1" applyAlignment="1">
      <alignment wrapText="1"/>
    </xf>
    <xf numFmtId="0" fontId="19" fillId="0" borderId="56" xfId="0" applyFont="1" applyBorder="1" applyAlignment="1">
      <alignment horizontal="center" vertical="center" wrapText="1"/>
    </xf>
    <xf numFmtId="0" fontId="27" fillId="4" borderId="44" xfId="0" applyFont="1" applyFill="1" applyBorder="1" applyAlignment="1">
      <alignment vertical="center"/>
    </xf>
    <xf numFmtId="0" fontId="27" fillId="4" borderId="0" xfId="0" applyFont="1" applyFill="1" applyAlignment="1">
      <alignment vertical="center"/>
    </xf>
    <xf numFmtId="0" fontId="0" fillId="4" borderId="0" xfId="0" applyFill="1" applyAlignment="1">
      <alignment vertical="center"/>
    </xf>
    <xf numFmtId="0" fontId="38" fillId="4" borderId="0" xfId="0" applyFont="1" applyFill="1" applyAlignment="1">
      <alignment vertical="center"/>
    </xf>
    <xf numFmtId="0" fontId="2" fillId="11" borderId="37" xfId="0" applyFont="1" applyFill="1" applyBorder="1" applyAlignment="1">
      <alignment horizontal="center" vertical="center"/>
    </xf>
    <xf numFmtId="0" fontId="15" fillId="27" borderId="38" xfId="0" applyFont="1" applyFill="1" applyBorder="1" applyAlignment="1">
      <alignment wrapText="1"/>
    </xf>
    <xf numFmtId="0" fontId="15" fillId="11" borderId="26" xfId="0" applyFont="1" applyFill="1" applyBorder="1" applyAlignment="1">
      <alignment wrapText="1"/>
    </xf>
    <xf numFmtId="0" fontId="19" fillId="0" borderId="27" xfId="0" applyFont="1" applyBorder="1"/>
    <xf numFmtId="0" fontId="0" fillId="0" borderId="28" xfId="0" applyBorder="1" applyAlignment="1">
      <alignment vertical="center" wrapText="1"/>
    </xf>
    <xf numFmtId="0" fontId="4" fillId="0" borderId="29" xfId="0" applyFont="1" applyBorder="1" applyAlignment="1">
      <alignment vertical="center" wrapText="1"/>
    </xf>
    <xf numFmtId="0" fontId="27" fillId="4" borderId="44" xfId="0" applyFont="1" applyFill="1" applyBorder="1"/>
    <xf numFmtId="0" fontId="27" fillId="4" borderId="0" xfId="0" applyFont="1" applyFill="1"/>
    <xf numFmtId="0" fontId="0" fillId="4" borderId="0" xfId="0" applyFill="1"/>
    <xf numFmtId="0" fontId="29" fillId="0" borderId="42" xfId="0" applyFont="1" applyBorder="1" applyAlignment="1">
      <alignment vertical="center"/>
    </xf>
    <xf numFmtId="0" fontId="29" fillId="0" borderId="28" xfId="0" applyFont="1" applyBorder="1" applyAlignment="1">
      <alignment vertical="center"/>
    </xf>
    <xf numFmtId="0" fontId="3" fillId="11" borderId="7" xfId="0" applyFont="1" applyFill="1" applyBorder="1" applyAlignment="1">
      <alignment vertical="center" wrapText="1"/>
    </xf>
    <xf numFmtId="0" fontId="17" fillId="0" borderId="0" xfId="0" applyFont="1" applyAlignment="1">
      <alignment horizontal="center" vertical="center"/>
    </xf>
    <xf numFmtId="0" fontId="19" fillId="0" borderId="39" xfId="0" applyFont="1" applyBorder="1" applyAlignment="1">
      <alignment horizontal="center" vertical="center"/>
    </xf>
    <xf numFmtId="0" fontId="19" fillId="0" borderId="49" xfId="0" applyFont="1" applyBorder="1" applyAlignment="1">
      <alignment horizontal="center" vertical="center"/>
    </xf>
    <xf numFmtId="0" fontId="19" fillId="0" borderId="35" xfId="0" applyFont="1" applyBorder="1" applyAlignment="1">
      <alignment horizontal="center" vertical="center" wrapText="1"/>
    </xf>
    <xf numFmtId="0" fontId="19" fillId="0" borderId="29" xfId="0" applyFont="1" applyBorder="1" applyAlignment="1">
      <alignment horizontal="center" vertical="center" wrapText="1"/>
    </xf>
    <xf numFmtId="0" fontId="0" fillId="22" borderId="27" xfId="0" applyFill="1" applyBorder="1" applyAlignment="1">
      <alignment horizontal="center" vertical="center"/>
    </xf>
    <xf numFmtId="0" fontId="0" fillId="22" borderId="5" xfId="0" applyFill="1" applyBorder="1" applyAlignment="1">
      <alignment vertical="center"/>
    </xf>
    <xf numFmtId="0" fontId="0" fillId="22" borderId="5" xfId="0" applyFill="1" applyBorder="1" applyAlignment="1">
      <alignment horizontal="center" vertical="center"/>
    </xf>
    <xf numFmtId="0" fontId="3" fillId="22" borderId="5" xfId="0" applyFont="1" applyFill="1" applyBorder="1" applyAlignment="1">
      <alignment vertical="center" wrapText="1"/>
    </xf>
    <xf numFmtId="0" fontId="3" fillId="22" borderId="5" xfId="0" applyFont="1" applyFill="1" applyBorder="1" applyAlignment="1">
      <alignment vertical="center"/>
    </xf>
    <xf numFmtId="0" fontId="0" fillId="22" borderId="10" xfId="0" applyFill="1" applyBorder="1" applyAlignment="1">
      <alignment horizontal="center" vertical="center"/>
    </xf>
    <xf numFmtId="0" fontId="3" fillId="22" borderId="10" xfId="0" applyFont="1" applyFill="1" applyBorder="1" applyAlignment="1">
      <alignment vertical="center" wrapText="1"/>
    </xf>
    <xf numFmtId="0" fontId="19" fillId="22" borderId="5" xfId="0" applyFont="1" applyFill="1" applyBorder="1" applyAlignment="1">
      <alignment horizontal="center" vertical="center" wrapText="1"/>
    </xf>
    <xf numFmtId="0" fontId="3" fillId="22" borderId="5" xfId="0" applyFont="1" applyFill="1" applyBorder="1" applyAlignment="1">
      <alignment horizontal="right" vertical="center" wrapText="1"/>
    </xf>
    <xf numFmtId="0" fontId="0" fillId="22" borderId="32" xfId="0" applyFill="1" applyBorder="1" applyAlignment="1">
      <alignment horizontal="center" vertical="center"/>
    </xf>
    <xf numFmtId="0" fontId="0" fillId="22" borderId="35" xfId="0" applyFill="1" applyBorder="1" applyAlignment="1">
      <alignment horizontal="center" vertical="center" wrapText="1"/>
    </xf>
    <xf numFmtId="0" fontId="0" fillId="22" borderId="51" xfId="0" applyFill="1" applyBorder="1" applyAlignment="1">
      <alignment horizontal="center" vertical="center" wrapText="1"/>
    </xf>
    <xf numFmtId="0" fontId="0" fillId="22" borderId="27" xfId="0" applyFill="1" applyBorder="1" applyAlignment="1">
      <alignment vertical="center"/>
    </xf>
    <xf numFmtId="0" fontId="3" fillId="0" borderId="32" xfId="0" applyFont="1" applyBorder="1"/>
    <xf numFmtId="0" fontId="3" fillId="11" borderId="8" xfId="0" applyFont="1" applyFill="1" applyBorder="1" applyAlignment="1">
      <alignment wrapText="1"/>
    </xf>
    <xf numFmtId="0" fontId="3" fillId="11" borderId="8" xfId="0" applyFont="1" applyFill="1" applyBorder="1" applyAlignment="1">
      <alignment vertical="center" wrapText="1"/>
    </xf>
    <xf numFmtId="0" fontId="15" fillId="17" borderId="8" xfId="0" applyFont="1" applyFill="1" applyBorder="1" applyAlignment="1">
      <alignment vertical="center" wrapText="1"/>
    </xf>
    <xf numFmtId="0" fontId="15" fillId="20" borderId="8" xfId="0" applyFont="1" applyFill="1" applyBorder="1" applyAlignment="1">
      <alignment wrapText="1"/>
    </xf>
    <xf numFmtId="0" fontId="15" fillId="0" borderId="0" xfId="0" applyFont="1" applyAlignment="1">
      <alignment wrapText="1"/>
    </xf>
    <xf numFmtId="0" fontId="15" fillId="20" borderId="48" xfId="0" applyFont="1" applyFill="1" applyBorder="1" applyAlignment="1">
      <alignment wrapText="1"/>
    </xf>
    <xf numFmtId="0" fontId="3" fillId="22" borderId="32" xfId="0" applyFont="1" applyFill="1" applyBorder="1" applyAlignment="1">
      <alignment vertical="center" wrapText="1"/>
    </xf>
    <xf numFmtId="0" fontId="3" fillId="0" borderId="52" xfId="0" applyFont="1" applyBorder="1" applyAlignment="1">
      <alignment wrapText="1"/>
    </xf>
    <xf numFmtId="0" fontId="3" fillId="0" borderId="63" xfId="0" applyFont="1" applyBorder="1" applyAlignment="1">
      <alignment wrapText="1"/>
    </xf>
    <xf numFmtId="0" fontId="3" fillId="0" borderId="31" xfId="0" applyFont="1" applyBorder="1" applyAlignment="1">
      <alignment vertical="center" wrapText="1"/>
    </xf>
    <xf numFmtId="0" fontId="3" fillId="0" borderId="42" xfId="0" applyFont="1" applyBorder="1" applyAlignment="1">
      <alignment vertical="center" wrapText="1"/>
    </xf>
    <xf numFmtId="0" fontId="18" fillId="0" borderId="0" xfId="0" applyFont="1" applyAlignment="1">
      <alignment wrapText="1"/>
    </xf>
    <xf numFmtId="0" fontId="19" fillId="0" borderId="0" xfId="0" applyFont="1" applyAlignment="1">
      <alignment vertical="center" wrapText="1"/>
    </xf>
    <xf numFmtId="0" fontId="3" fillId="0" borderId="48" xfId="0" applyFont="1" applyBorder="1" applyAlignment="1">
      <alignment vertical="center"/>
    </xf>
    <xf numFmtId="0" fontId="2" fillId="0" borderId="0" xfId="0" applyFont="1" applyAlignment="1">
      <alignment horizontal="center"/>
    </xf>
    <xf numFmtId="0" fontId="40" fillId="0" borderId="0" xfId="0" applyFont="1" applyAlignment="1">
      <alignment vertical="center"/>
    </xf>
    <xf numFmtId="0" fontId="41" fillId="0" borderId="0" xfId="0" applyFont="1" applyAlignment="1">
      <alignment vertical="center" wrapText="1"/>
    </xf>
    <xf numFmtId="0" fontId="40" fillId="0" borderId="49" xfId="0" applyFont="1" applyBorder="1" applyAlignment="1">
      <alignment horizontal="center" vertical="center" wrapText="1"/>
    </xf>
    <xf numFmtId="0" fontId="40" fillId="0" borderId="29" xfId="0" applyFont="1" applyBorder="1" applyAlignment="1">
      <alignment horizontal="center" vertical="center"/>
    </xf>
    <xf numFmtId="0" fontId="40" fillId="11" borderId="52" xfId="0" applyFont="1" applyFill="1" applyBorder="1" applyAlignment="1">
      <alignment horizontal="center" vertical="center"/>
    </xf>
    <xf numFmtId="0" fontId="40" fillId="0" borderId="27" xfId="0" applyFont="1" applyBorder="1" applyAlignment="1">
      <alignment horizontal="center" vertical="center"/>
    </xf>
    <xf numFmtId="0" fontId="40" fillId="0" borderId="34" xfId="0" applyFont="1" applyBorder="1" applyAlignment="1">
      <alignment vertical="center"/>
    </xf>
    <xf numFmtId="0" fontId="40" fillId="0" borderId="27" xfId="0" applyFont="1" applyBorder="1" applyAlignment="1">
      <alignment vertical="center"/>
    </xf>
    <xf numFmtId="0" fontId="40" fillId="0" borderId="27" xfId="0" applyFont="1" applyBorder="1" applyAlignment="1">
      <alignment vertical="center" wrapText="1"/>
    </xf>
    <xf numFmtId="0" fontId="3" fillId="0" borderId="27" xfId="0" applyFont="1" applyBorder="1" applyAlignment="1">
      <alignment horizontal="left" wrapText="1"/>
    </xf>
    <xf numFmtId="0" fontId="6" fillId="0" borderId="27" xfId="0" applyFont="1" applyBorder="1" applyAlignment="1">
      <alignment vertical="center"/>
    </xf>
    <xf numFmtId="0" fontId="6" fillId="0" borderId="53" xfId="0" applyFont="1" applyBorder="1" applyAlignment="1">
      <alignment vertical="center"/>
    </xf>
    <xf numFmtId="0" fontId="42" fillId="0" borderId="26" xfId="0" applyFont="1" applyBorder="1"/>
    <xf numFmtId="0" fontId="42" fillId="0" borderId="38" xfId="0" applyFont="1" applyBorder="1"/>
    <xf numFmtId="0" fontId="42" fillId="0" borderId="27" xfId="0" applyFont="1" applyBorder="1" applyAlignment="1">
      <alignment vertical="center"/>
    </xf>
    <xf numFmtId="0" fontId="43" fillId="0" borderId="26" xfId="0" applyFont="1" applyBorder="1"/>
    <xf numFmtId="0" fontId="0" fillId="11" borderId="37" xfId="0" applyFill="1" applyBorder="1" applyAlignment="1">
      <alignment horizontal="center" vertical="center"/>
    </xf>
    <xf numFmtId="0" fontId="0" fillId="11" borderId="38" xfId="0" applyFill="1" applyBorder="1" applyAlignment="1">
      <alignment vertical="center"/>
    </xf>
    <xf numFmtId="0" fontId="0" fillId="9" borderId="28" xfId="0" applyFill="1" applyBorder="1" applyAlignment="1">
      <alignment horizontal="center" vertical="center" wrapText="1"/>
    </xf>
    <xf numFmtId="0" fontId="16" fillId="15" borderId="27" xfId="0" applyFont="1" applyFill="1" applyBorder="1" applyAlignment="1">
      <alignment vertical="center"/>
    </xf>
    <xf numFmtId="3" fontId="0" fillId="0" borderId="0" xfId="0" applyNumberFormat="1"/>
    <xf numFmtId="0" fontId="0" fillId="27" borderId="27" xfId="0" applyFill="1" applyBorder="1" applyAlignment="1">
      <alignment horizontal="center"/>
    </xf>
    <xf numFmtId="0" fontId="3" fillId="27" borderId="27" xfId="0" applyFont="1" applyFill="1" applyBorder="1"/>
    <xf numFmtId="0" fontId="3" fillId="27" borderId="34" xfId="0" applyFont="1" applyFill="1" applyBorder="1"/>
    <xf numFmtId="0" fontId="3" fillId="27" borderId="28" xfId="0" applyFont="1" applyFill="1" applyBorder="1"/>
    <xf numFmtId="0" fontId="19" fillId="27" borderId="27" xfId="0" applyFont="1" applyFill="1" applyBorder="1" applyAlignment="1">
      <alignment horizontal="center" vertical="center"/>
    </xf>
    <xf numFmtId="0" fontId="3" fillId="27" borderId="26" xfId="0" applyFont="1" applyFill="1" applyBorder="1" applyAlignment="1">
      <alignment wrapText="1"/>
    </xf>
    <xf numFmtId="0" fontId="0" fillId="27" borderId="28" xfId="0" applyFill="1" applyBorder="1" applyAlignment="1">
      <alignment horizontal="center"/>
    </xf>
    <xf numFmtId="0" fontId="0" fillId="27" borderId="34" xfId="0" applyFill="1" applyBorder="1"/>
    <xf numFmtId="0" fontId="3" fillId="27" borderId="7" xfId="0" applyFont="1" applyFill="1" applyBorder="1" applyAlignment="1">
      <alignment wrapText="1"/>
    </xf>
    <xf numFmtId="0" fontId="3" fillId="27" borderId="27" xfId="0" applyFont="1" applyFill="1" applyBorder="1" applyAlignment="1">
      <alignment horizontal="right"/>
    </xf>
    <xf numFmtId="0" fontId="19" fillId="27" borderId="36" xfId="0" applyFont="1" applyFill="1" applyBorder="1" applyAlignment="1">
      <alignment horizontal="center" vertical="center"/>
    </xf>
    <xf numFmtId="0" fontId="3" fillId="27" borderId="27" xfId="0" applyFont="1" applyFill="1" applyBorder="1" applyAlignment="1">
      <alignment horizontal="left" vertical="top" wrapText="1"/>
    </xf>
    <xf numFmtId="0" fontId="3" fillId="27" borderId="43" xfId="0" applyFont="1" applyFill="1" applyBorder="1" applyAlignment="1">
      <alignment wrapText="1"/>
    </xf>
    <xf numFmtId="0" fontId="3" fillId="27" borderId="36" xfId="0" applyFont="1" applyFill="1" applyBorder="1"/>
    <xf numFmtId="0" fontId="3" fillId="27" borderId="35" xfId="0" applyFont="1" applyFill="1" applyBorder="1"/>
    <xf numFmtId="0" fontId="3" fillId="27" borderId="51" xfId="0" applyFont="1" applyFill="1" applyBorder="1"/>
    <xf numFmtId="0" fontId="3" fillId="27" borderId="28" xfId="0" applyFont="1" applyFill="1" applyBorder="1" applyAlignment="1">
      <alignment vertical="center"/>
    </xf>
    <xf numFmtId="0" fontId="19" fillId="27" borderId="34" xfId="0" applyFont="1" applyFill="1" applyBorder="1" applyAlignment="1">
      <alignment horizontal="center" vertical="center"/>
    </xf>
    <xf numFmtId="0" fontId="19" fillId="27" borderId="37" xfId="0" applyFont="1" applyFill="1" applyBorder="1" applyAlignment="1">
      <alignment wrapText="1"/>
    </xf>
    <xf numFmtId="0" fontId="3" fillId="0" borderId="31" xfId="0" applyFont="1" applyBorder="1" applyAlignment="1">
      <alignment wrapText="1"/>
    </xf>
    <xf numFmtId="0" fontId="3" fillId="0" borderId="27" xfId="0" applyFont="1" applyBorder="1" applyAlignment="1">
      <alignment horizontal="center"/>
    </xf>
    <xf numFmtId="0" fontId="19" fillId="0" borderId="39" xfId="0" applyFont="1" applyBorder="1"/>
    <xf numFmtId="0" fontId="26" fillId="0" borderId="28" xfId="0" applyFont="1" applyBorder="1" applyAlignment="1">
      <alignment horizontal="left" wrapText="1"/>
    </xf>
    <xf numFmtId="0" fontId="3" fillId="0" borderId="39" xfId="0" applyFont="1" applyBorder="1"/>
    <xf numFmtId="0" fontId="3" fillId="0" borderId="43" xfId="0" applyFont="1" applyBorder="1"/>
    <xf numFmtId="0" fontId="3" fillId="0" borderId="42" xfId="0" applyFont="1" applyBorder="1"/>
    <xf numFmtId="0" fontId="0" fillId="0" borderId="56" xfId="0" applyBorder="1"/>
    <xf numFmtId="0" fontId="19" fillId="0" borderId="28" xfId="0" applyFont="1" applyBorder="1" applyAlignment="1">
      <alignment horizontal="center" vertical="center"/>
    </xf>
    <xf numFmtId="0" fontId="7" fillId="8" borderId="27" xfId="0" applyFont="1" applyFill="1" applyBorder="1" applyAlignment="1">
      <alignment horizontal="center" wrapText="1"/>
    </xf>
    <xf numFmtId="0" fontId="0" fillId="0" borderId="39" xfId="0" applyBorder="1" applyAlignment="1">
      <alignment vertical="center" wrapText="1"/>
    </xf>
    <xf numFmtId="0" fontId="3" fillId="0" borderId="27" xfId="0" applyFont="1" applyBorder="1" applyAlignment="1">
      <alignment horizontal="center" vertical="center"/>
    </xf>
    <xf numFmtId="0" fontId="6" fillId="0" borderId="28" xfId="0" applyFont="1" applyBorder="1" applyAlignment="1">
      <alignment horizontal="center"/>
    </xf>
    <xf numFmtId="0" fontId="6" fillId="0" borderId="34" xfId="0" applyFont="1" applyBorder="1" applyAlignment="1">
      <alignment horizontal="center"/>
    </xf>
    <xf numFmtId="0" fontId="6" fillId="0" borderId="27" xfId="0" applyFont="1" applyBorder="1" applyAlignment="1">
      <alignment horizontal="center"/>
    </xf>
    <xf numFmtId="0" fontId="3" fillId="0" borderId="38" xfId="0" applyFont="1" applyBorder="1" applyAlignment="1">
      <alignment horizontal="center" vertical="center"/>
    </xf>
    <xf numFmtId="0" fontId="7" fillId="8" borderId="29" xfId="0" applyFont="1" applyFill="1" applyBorder="1" applyAlignment="1">
      <alignment horizontal="center" wrapText="1"/>
    </xf>
    <xf numFmtId="0" fontId="7" fillId="8" borderId="30" xfId="0" applyFont="1" applyFill="1" applyBorder="1" applyAlignment="1">
      <alignment horizontal="center" wrapText="1"/>
    </xf>
    <xf numFmtId="0" fontId="7" fillId="8" borderId="28" xfId="0" applyFont="1" applyFill="1" applyBorder="1" applyAlignment="1">
      <alignment horizontal="center"/>
    </xf>
    <xf numFmtId="0" fontId="7" fillId="8" borderId="34" xfId="0" applyFont="1" applyFill="1" applyBorder="1" applyAlignment="1">
      <alignment horizontal="center"/>
    </xf>
    <xf numFmtId="0" fontId="6" fillId="2" borderId="27" xfId="0" applyFont="1" applyFill="1" applyBorder="1" applyAlignment="1">
      <alignment horizontal="center"/>
    </xf>
    <xf numFmtId="0" fontId="6" fillId="21" borderId="28" xfId="0" applyFont="1" applyFill="1" applyBorder="1" applyAlignment="1">
      <alignment horizontal="center"/>
    </xf>
    <xf numFmtId="0" fontId="6" fillId="21" borderId="34" xfId="0" applyFont="1" applyFill="1" applyBorder="1" applyAlignment="1">
      <alignment horizontal="center"/>
    </xf>
    <xf numFmtId="0" fontId="6" fillId="21" borderId="27" xfId="0" applyFont="1" applyFill="1" applyBorder="1" applyAlignment="1">
      <alignment horizontal="center"/>
    </xf>
    <xf numFmtId="0" fontId="19" fillId="0" borderId="51" xfId="0" applyFont="1" applyBorder="1" applyAlignment="1">
      <alignment horizontal="center" vertical="center" wrapText="1"/>
    </xf>
    <xf numFmtId="0" fontId="0" fillId="0" borderId="29" xfId="0" applyBorder="1"/>
    <xf numFmtId="0" fontId="19" fillId="0" borderId="34" xfId="0" applyFont="1" applyBorder="1" applyAlignment="1">
      <alignment wrapText="1"/>
    </xf>
    <xf numFmtId="0" fontId="17" fillId="0" borderId="28" xfId="0" applyFont="1" applyBorder="1" applyAlignment="1">
      <alignment horizontal="center" vertical="center"/>
    </xf>
    <xf numFmtId="0" fontId="16" fillId="0" borderId="28" xfId="0" applyFont="1" applyBorder="1" applyAlignment="1">
      <alignment horizontal="center" vertical="center"/>
    </xf>
    <xf numFmtId="0" fontId="19" fillId="0" borderId="37" xfId="0" applyFont="1" applyBorder="1" applyAlignment="1">
      <alignment horizontal="center" vertical="center"/>
    </xf>
    <xf numFmtId="0" fontId="0" fillId="0" borderId="47" xfId="0" applyBorder="1" applyAlignment="1">
      <alignment vertical="center"/>
    </xf>
    <xf numFmtId="0" fontId="16" fillId="0" borderId="38" xfId="0" applyFont="1" applyBorder="1" applyAlignment="1">
      <alignment horizontal="center" vertical="center"/>
    </xf>
    <xf numFmtId="0" fontId="4" fillId="0" borderId="79" xfId="0" applyFont="1" applyBorder="1" applyAlignment="1">
      <alignment vertical="center"/>
    </xf>
    <xf numFmtId="0" fontId="16" fillId="0" borderId="36" xfId="0" applyFont="1" applyBorder="1" applyAlignment="1">
      <alignment horizontal="center" vertical="center"/>
    </xf>
    <xf numFmtId="0" fontId="2" fillId="0" borderId="0" xfId="0" applyFont="1" applyAlignment="1">
      <alignment horizontal="right"/>
    </xf>
    <xf numFmtId="0" fontId="8" fillId="0" borderId="37" xfId="0" applyFont="1" applyBorder="1" applyAlignment="1">
      <alignment horizontal="center" vertical="center"/>
    </xf>
    <xf numFmtId="0" fontId="8" fillId="28" borderId="27" xfId="0" applyFont="1" applyFill="1" applyBorder="1" applyAlignment="1">
      <alignment horizontal="center" vertical="center"/>
    </xf>
    <xf numFmtId="0" fontId="28" fillId="0" borderId="27" xfId="0" applyFont="1" applyBorder="1"/>
    <xf numFmtId="0" fontId="28" fillId="0" borderId="27" xfId="0" applyFont="1" applyBorder="1" applyAlignment="1">
      <alignment wrapText="1"/>
    </xf>
    <xf numFmtId="0" fontId="8" fillId="0" borderId="39" xfId="0" applyFont="1" applyBorder="1" applyAlignment="1">
      <alignment horizontal="center" vertical="center"/>
    </xf>
    <xf numFmtId="0" fontId="0" fillId="0" borderId="39" xfId="0" applyBorder="1" applyAlignment="1">
      <alignment horizontal="center" vertical="center"/>
    </xf>
    <xf numFmtId="0" fontId="0" fillId="0" borderId="80" xfId="0" applyBorder="1" applyAlignment="1">
      <alignment vertical="center"/>
    </xf>
    <xf numFmtId="0" fontId="0" fillId="0" borderId="81" xfId="0" applyBorder="1" applyAlignment="1">
      <alignment vertical="center"/>
    </xf>
    <xf numFmtId="0" fontId="3" fillId="0" borderId="80" xfId="0" applyFont="1" applyBorder="1" applyAlignment="1">
      <alignment vertical="center" wrapText="1"/>
    </xf>
    <xf numFmtId="0" fontId="0" fillId="0" borderId="81" xfId="0" applyBorder="1" applyAlignment="1">
      <alignment horizontal="center" vertical="center"/>
    </xf>
    <xf numFmtId="0" fontId="3" fillId="0" borderId="81" xfId="0" applyFont="1" applyBorder="1"/>
    <xf numFmtId="0" fontId="3" fillId="0" borderId="23" xfId="0" applyFont="1" applyBorder="1"/>
    <xf numFmtId="0" fontId="19" fillId="0" borderId="81" xfId="0" applyFont="1" applyBorder="1" applyAlignment="1">
      <alignment horizontal="center" vertical="center"/>
    </xf>
    <xf numFmtId="0" fontId="19" fillId="0" borderId="82" xfId="0" applyFont="1" applyBorder="1" applyAlignment="1">
      <alignment horizontal="center" vertical="center"/>
    </xf>
    <xf numFmtId="0" fontId="3" fillId="0" borderId="23" xfId="0" applyFont="1" applyBorder="1" applyAlignment="1">
      <alignment wrapText="1"/>
    </xf>
    <xf numFmtId="0" fontId="3" fillId="0" borderId="1" xfId="0" applyFont="1" applyBorder="1" applyAlignment="1">
      <alignment wrapText="1"/>
    </xf>
    <xf numFmtId="0" fontId="3" fillId="0" borderId="83" xfId="0" applyFont="1" applyBorder="1"/>
    <xf numFmtId="0" fontId="3" fillId="0" borderId="41" xfId="0" applyFont="1" applyBorder="1"/>
    <xf numFmtId="0" fontId="0" fillId="13" borderId="83" xfId="0" applyFill="1" applyBorder="1" applyAlignment="1">
      <alignment horizontal="center"/>
    </xf>
    <xf numFmtId="0" fontId="0" fillId="0" borderId="81" xfId="0" applyBorder="1" applyAlignment="1">
      <alignment horizontal="center"/>
    </xf>
    <xf numFmtId="0" fontId="0" fillId="0" borderId="80" xfId="0" applyBorder="1" applyAlignment="1">
      <alignment horizontal="center" vertical="center" wrapText="1"/>
    </xf>
    <xf numFmtId="0" fontId="0" fillId="9" borderId="82" xfId="0" applyFill="1" applyBorder="1" applyAlignment="1">
      <alignment horizontal="center" vertical="center" wrapText="1"/>
    </xf>
    <xf numFmtId="0" fontId="0" fillId="0" borderId="81" xfId="0" applyBorder="1"/>
    <xf numFmtId="0" fontId="0" fillId="0" borderId="84" xfId="0" applyBorder="1"/>
    <xf numFmtId="0" fontId="0" fillId="0" borderId="85" xfId="0" applyBorder="1"/>
    <xf numFmtId="0" fontId="0" fillId="0" borderId="86" xfId="0" applyBorder="1"/>
    <xf numFmtId="0" fontId="0" fillId="0" borderId="44" xfId="0" applyBorder="1"/>
    <xf numFmtId="0" fontId="0" fillId="0" borderId="86" xfId="0" applyBorder="1" applyAlignment="1">
      <alignment vertical="center"/>
    </xf>
    <xf numFmtId="0" fontId="0" fillId="0" borderId="88" xfId="0" applyBorder="1" applyAlignment="1">
      <alignment horizontal="center" vertical="center"/>
    </xf>
    <xf numFmtId="0" fontId="19" fillId="0" borderId="90" xfId="0" applyFont="1" applyBorder="1" applyAlignment="1">
      <alignment horizontal="center" vertical="center" wrapText="1"/>
    </xf>
    <xf numFmtId="0" fontId="0" fillId="0" borderId="88" xfId="0" applyBorder="1" applyAlignment="1">
      <alignment horizontal="center"/>
    </xf>
    <xf numFmtId="0" fontId="0" fillId="0" borderId="87" xfId="0" applyBorder="1"/>
    <xf numFmtId="0" fontId="0" fillId="0" borderId="24" xfId="0" applyBorder="1"/>
    <xf numFmtId="0" fontId="0" fillId="12" borderId="83" xfId="0" applyFill="1" applyBorder="1" applyAlignment="1">
      <alignment horizontal="center" vertical="center"/>
    </xf>
    <xf numFmtId="0" fontId="24" fillId="0" borderId="88" xfId="0" applyFont="1" applyBorder="1" applyAlignment="1">
      <alignment horizontal="center" vertical="center"/>
    </xf>
    <xf numFmtId="0" fontId="15" fillId="15" borderId="90" xfId="0" applyFont="1" applyFill="1" applyBorder="1" applyAlignment="1">
      <alignment horizontal="left" vertical="center" wrapText="1"/>
    </xf>
    <xf numFmtId="0" fontId="15" fillId="17" borderId="88" xfId="0" applyFont="1" applyFill="1" applyBorder="1" applyAlignment="1">
      <alignment vertical="center" wrapText="1"/>
    </xf>
    <xf numFmtId="0" fontId="15" fillId="17" borderId="93" xfId="0" applyFont="1" applyFill="1" applyBorder="1" applyAlignment="1">
      <alignment vertical="center" wrapText="1"/>
    </xf>
    <xf numFmtId="0" fontId="15" fillId="17" borderId="6" xfId="0" applyFont="1" applyFill="1" applyBorder="1" applyAlignment="1">
      <alignment vertical="center" wrapText="1"/>
    </xf>
    <xf numFmtId="0" fontId="18" fillId="17" borderId="6" xfId="0" applyFont="1" applyFill="1" applyBorder="1" applyAlignment="1">
      <alignment horizontal="center" vertical="center" wrapText="1"/>
    </xf>
    <xf numFmtId="0" fontId="15" fillId="17" borderId="94" xfId="0" applyFont="1" applyFill="1" applyBorder="1" applyAlignment="1">
      <alignment vertical="center" wrapText="1"/>
    </xf>
    <xf numFmtId="0" fontId="2" fillId="17" borderId="94" xfId="0" applyFont="1" applyFill="1" applyBorder="1" applyAlignment="1">
      <alignment horizontal="center" vertical="center"/>
    </xf>
    <xf numFmtId="0" fontId="2" fillId="17" borderId="88" xfId="0" applyFont="1" applyFill="1" applyBorder="1" applyAlignment="1">
      <alignment vertical="center"/>
    </xf>
    <xf numFmtId="0" fontId="2" fillId="17" borderId="95" xfId="0" applyFont="1" applyFill="1" applyBorder="1" applyAlignment="1">
      <alignment vertical="center" wrapText="1"/>
    </xf>
    <xf numFmtId="0" fontId="3" fillId="0" borderId="81" xfId="0" applyFont="1" applyBorder="1" applyAlignment="1">
      <alignment wrapText="1"/>
    </xf>
    <xf numFmtId="0" fontId="2" fillId="0" borderId="86" xfId="0" applyFont="1" applyBorder="1" applyAlignment="1">
      <alignment wrapText="1"/>
    </xf>
    <xf numFmtId="0" fontId="2" fillId="0" borderId="96" xfId="0" applyFont="1" applyBorder="1" applyAlignment="1">
      <alignment wrapText="1"/>
    </xf>
    <xf numFmtId="0" fontId="0" fillId="11" borderId="34" xfId="0" applyFill="1" applyBorder="1"/>
    <xf numFmtId="0" fontId="0" fillId="19" borderId="36" xfId="0" applyFill="1" applyBorder="1" applyAlignment="1">
      <alignment horizontal="center" vertical="center"/>
    </xf>
    <xf numFmtId="0" fontId="0" fillId="0" borderId="10" xfId="0" applyBorder="1" applyAlignment="1">
      <alignment vertical="center"/>
    </xf>
    <xf numFmtId="0" fontId="4" fillId="0" borderId="10" xfId="0" applyFont="1" applyBorder="1" applyAlignment="1">
      <alignment vertical="center"/>
    </xf>
    <xf numFmtId="0" fontId="3" fillId="0" borderId="10" xfId="0" applyFont="1" applyBorder="1" applyAlignment="1">
      <alignment vertical="center"/>
    </xf>
    <xf numFmtId="0" fontId="0" fillId="0" borderId="31" xfId="0" applyBorder="1" applyAlignment="1">
      <alignment horizontal="center" vertical="center"/>
    </xf>
    <xf numFmtId="0" fontId="3" fillId="0" borderId="43" xfId="0" applyFont="1" applyBorder="1" applyAlignment="1">
      <alignment horizontal="center" vertical="center"/>
    </xf>
    <xf numFmtId="0" fontId="16" fillId="0" borderId="38" xfId="0" applyFont="1" applyBorder="1" applyAlignment="1">
      <alignment vertical="center" wrapText="1"/>
    </xf>
    <xf numFmtId="0" fontId="16" fillId="0" borderId="31" xfId="0" applyFont="1" applyBorder="1" applyAlignment="1">
      <alignment horizontal="center" vertical="center"/>
    </xf>
    <xf numFmtId="0" fontId="0" fillId="0" borderId="10" xfId="0" applyBorder="1" applyAlignment="1">
      <alignment horizontal="center" vertical="center"/>
    </xf>
    <xf numFmtId="0" fontId="0" fillId="0" borderId="100" xfId="0" applyBorder="1" applyAlignment="1">
      <alignment vertical="center"/>
    </xf>
    <xf numFmtId="0" fontId="0" fillId="0" borderId="39" xfId="0" applyBorder="1" applyAlignment="1">
      <alignment vertical="center"/>
    </xf>
    <xf numFmtId="0" fontId="20" fillId="0" borderId="81" xfId="0" applyFont="1" applyBorder="1" applyAlignment="1">
      <alignment horizontal="center" vertical="center" wrapText="1"/>
    </xf>
    <xf numFmtId="0" fontId="3" fillId="0" borderId="81" xfId="0" applyFont="1" applyBorder="1" applyAlignment="1">
      <alignment vertical="center" wrapText="1"/>
    </xf>
    <xf numFmtId="0" fontId="3" fillId="0" borderId="83" xfId="0" applyFont="1" applyBorder="1" applyAlignment="1">
      <alignment wrapText="1"/>
    </xf>
    <xf numFmtId="0" fontId="19" fillId="0" borderId="81" xfId="0" applyFont="1" applyBorder="1" applyAlignment="1">
      <alignment horizontal="center" vertical="center" wrapText="1"/>
    </xf>
    <xf numFmtId="0" fontId="19" fillId="0" borderId="84" xfId="0" applyFont="1" applyBorder="1" applyAlignment="1">
      <alignment horizontal="center" vertical="center" wrapText="1"/>
    </xf>
    <xf numFmtId="0" fontId="0" fillId="0" borderId="83" xfId="0" applyBorder="1" applyAlignment="1">
      <alignment horizontal="center"/>
    </xf>
    <xf numFmtId="0" fontId="0" fillId="0" borderId="99" xfId="0" applyBorder="1"/>
    <xf numFmtId="0" fontId="0" fillId="0" borderId="78" xfId="0" applyBorder="1"/>
    <xf numFmtId="0" fontId="0" fillId="0" borderId="92" xfId="0" applyBorder="1"/>
    <xf numFmtId="0" fontId="0" fillId="0" borderId="101" xfId="0" applyBorder="1"/>
    <xf numFmtId="0" fontId="0" fillId="0" borderId="102" xfId="0" applyBorder="1"/>
    <xf numFmtId="0" fontId="0" fillId="0" borderId="86" xfId="0" applyBorder="1" applyAlignment="1">
      <alignment wrapText="1"/>
    </xf>
    <xf numFmtId="0" fontId="0" fillId="0" borderId="101" xfId="0" applyBorder="1" applyAlignment="1">
      <alignment vertical="center" wrapText="1"/>
    </xf>
    <xf numFmtId="0" fontId="19" fillId="0" borderId="0" xfId="0" applyFont="1" applyAlignment="1">
      <alignment wrapText="1"/>
    </xf>
    <xf numFmtId="0" fontId="0" fillId="0" borderId="103" xfId="0" applyBorder="1"/>
    <xf numFmtId="0" fontId="19" fillId="0" borderId="98" xfId="0" applyFont="1" applyBorder="1" applyAlignment="1">
      <alignment wrapText="1"/>
    </xf>
    <xf numFmtId="0" fontId="3" fillId="0" borderId="87" xfId="0" applyFont="1" applyBorder="1" applyAlignment="1">
      <alignment wrapText="1"/>
    </xf>
    <xf numFmtId="0" fontId="0" fillId="0" borderId="24" xfId="0" applyBorder="1" applyAlignment="1">
      <alignment horizontal="center"/>
    </xf>
    <xf numFmtId="0" fontId="0" fillId="0" borderId="104" xfId="0" applyBorder="1"/>
    <xf numFmtId="0" fontId="14" fillId="0" borderId="27" xfId="0" applyFont="1" applyBorder="1" applyAlignment="1">
      <alignment horizontal="center" vertical="center" wrapText="1"/>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0" fillId="0" borderId="43" xfId="0" applyBorder="1" applyAlignment="1">
      <alignment horizontal="center" vertical="center"/>
    </xf>
    <xf numFmtId="0" fontId="0" fillId="0" borderId="89" xfId="0" applyBorder="1" applyAlignment="1">
      <alignment horizontal="center"/>
    </xf>
    <xf numFmtId="0" fontId="0" fillId="0" borderId="79" xfId="0" applyBorder="1" applyAlignment="1">
      <alignment horizontal="center"/>
    </xf>
    <xf numFmtId="0" fontId="0" fillId="0" borderId="79" xfId="0" applyBorder="1" applyAlignment="1">
      <alignment horizontal="center" vertical="center"/>
    </xf>
    <xf numFmtId="0" fontId="0" fillId="0" borderId="107" xfId="0" applyBorder="1" applyAlignment="1">
      <alignment horizontal="center" vertical="center" wrapText="1"/>
    </xf>
    <xf numFmtId="0" fontId="0" fillId="0" borderId="56" xfId="0" applyBorder="1" applyAlignment="1">
      <alignment horizontal="center" vertical="center" wrapText="1"/>
    </xf>
    <xf numFmtId="0" fontId="24" fillId="0" borderId="91" xfId="0" applyFont="1" applyBorder="1" applyAlignment="1">
      <alignment horizontal="center" vertical="center"/>
    </xf>
    <xf numFmtId="0" fontId="0" fillId="11" borderId="11" xfId="0" applyFill="1" applyBorder="1" applyAlignment="1">
      <alignment vertical="center"/>
    </xf>
    <xf numFmtId="0" fontId="48" fillId="0" borderId="0" xfId="0" applyFont="1"/>
    <xf numFmtId="0" fontId="26" fillId="0" borderId="27" xfId="0" applyFont="1" applyBorder="1" applyAlignment="1">
      <alignment wrapText="1"/>
    </xf>
    <xf numFmtId="0" fontId="16" fillId="4" borderId="38" xfId="0" applyFont="1" applyFill="1" applyBorder="1" applyAlignment="1">
      <alignment vertical="center"/>
    </xf>
    <xf numFmtId="0" fontId="15" fillId="0" borderId="34" xfId="0" applyFont="1" applyBorder="1" applyAlignment="1">
      <alignment vertical="center" wrapText="1"/>
    </xf>
    <xf numFmtId="0" fontId="2" fillId="17" borderId="24" xfId="0" applyFont="1" applyFill="1" applyBorder="1" applyAlignment="1">
      <alignment horizontal="center" vertical="center"/>
    </xf>
    <xf numFmtId="0" fontId="19" fillId="11" borderId="9" xfId="0" applyFont="1" applyFill="1" applyBorder="1" applyAlignment="1">
      <alignment horizontal="center" vertical="center" wrapText="1"/>
    </xf>
    <xf numFmtId="0" fontId="18" fillId="17" borderId="93" xfId="0" applyFont="1" applyFill="1" applyBorder="1" applyAlignment="1">
      <alignment horizontal="center" vertical="center" wrapText="1"/>
    </xf>
    <xf numFmtId="0" fontId="3" fillId="11" borderId="16" xfId="0" applyFont="1" applyFill="1" applyBorder="1" applyAlignment="1">
      <alignment vertical="center" wrapText="1"/>
    </xf>
    <xf numFmtId="0" fontId="15" fillId="17" borderId="108" xfId="0" applyFont="1" applyFill="1" applyBorder="1" applyAlignment="1">
      <alignment vertical="center" wrapText="1"/>
    </xf>
    <xf numFmtId="0" fontId="3" fillId="0" borderId="82" xfId="0" applyFont="1" applyBorder="1" applyAlignment="1">
      <alignment vertical="center"/>
    </xf>
    <xf numFmtId="0" fontId="24" fillId="0" borderId="90" xfId="0" applyFont="1" applyBorder="1" applyAlignment="1">
      <alignment horizontal="center" vertical="center"/>
    </xf>
    <xf numFmtId="0" fontId="0" fillId="0" borderId="80" xfId="0" applyBorder="1" applyAlignment="1">
      <alignment horizontal="center" vertical="center"/>
    </xf>
    <xf numFmtId="0" fontId="0" fillId="11" borderId="9" xfId="0" applyFill="1" applyBorder="1" applyAlignment="1">
      <alignment horizontal="center" vertical="center"/>
    </xf>
    <xf numFmtId="0" fontId="3" fillId="0" borderId="0" xfId="0" applyFont="1" applyAlignment="1">
      <alignment horizontal="left" vertical="center" wrapText="1"/>
    </xf>
    <xf numFmtId="0" fontId="17" fillId="0" borderId="29" xfId="0" applyFont="1" applyBorder="1" applyAlignment="1">
      <alignment horizontal="center" vertical="center"/>
    </xf>
    <xf numFmtId="0" fontId="17" fillId="0" borderId="38" xfId="0" applyFont="1" applyBorder="1" applyAlignment="1">
      <alignment horizontal="center" vertical="center"/>
    </xf>
    <xf numFmtId="0" fontId="15" fillId="0" borderId="43" xfId="0" applyFont="1" applyBorder="1" applyAlignment="1">
      <alignment wrapText="1"/>
    </xf>
    <xf numFmtId="0" fontId="15" fillId="0" borderId="31" xfId="0" applyFont="1" applyBorder="1" applyAlignment="1">
      <alignment wrapText="1"/>
    </xf>
    <xf numFmtId="0" fontId="2" fillId="17" borderId="42" xfId="0" applyFont="1" applyFill="1" applyBorder="1" applyAlignment="1">
      <alignment horizontal="center"/>
    </xf>
    <xf numFmtId="0" fontId="2" fillId="0" borderId="38" xfId="0" applyFont="1" applyBorder="1"/>
    <xf numFmtId="0" fontId="2" fillId="0" borderId="103" xfId="0" applyFont="1" applyBorder="1"/>
    <xf numFmtId="0" fontId="11" fillId="18" borderId="56" xfId="0" applyFont="1" applyFill="1" applyBorder="1" applyAlignment="1">
      <alignment horizontal="center" vertical="center" textRotation="90"/>
    </xf>
    <xf numFmtId="0" fontId="44" fillId="0" borderId="45" xfId="0" applyFont="1" applyBorder="1" applyAlignment="1">
      <alignment horizontal="center" vertical="center"/>
    </xf>
    <xf numFmtId="0" fontId="44" fillId="0" borderId="38" xfId="0" applyFont="1" applyBorder="1" applyAlignment="1">
      <alignment horizontal="center" vertical="center"/>
    </xf>
    <xf numFmtId="0" fontId="44" fillId="0" borderId="17" xfId="0" applyFont="1" applyBorder="1"/>
    <xf numFmtId="0" fontId="44" fillId="0" borderId="19" xfId="0" applyFont="1" applyBorder="1"/>
    <xf numFmtId="0" fontId="44" fillId="0" borderId="19" xfId="0" applyFont="1" applyBorder="1" applyAlignment="1">
      <alignment vertical="center"/>
    </xf>
    <xf numFmtId="0" fontId="0" fillId="28" borderId="27" xfId="0" applyFill="1" applyBorder="1" applyAlignment="1">
      <alignment horizontal="center" vertical="center" wrapText="1"/>
    </xf>
    <xf numFmtId="0" fontId="8" fillId="28" borderId="34" xfId="0" applyFont="1" applyFill="1" applyBorder="1" applyAlignment="1">
      <alignment horizontal="center" vertical="center"/>
    </xf>
    <xf numFmtId="0" fontId="0" fillId="28" borderId="0" xfId="0" applyFill="1" applyAlignment="1">
      <alignment vertical="center"/>
    </xf>
    <xf numFmtId="0" fontId="50" fillId="0" borderId="34" xfId="0" applyFont="1" applyBorder="1" applyAlignment="1">
      <alignment horizontal="center" wrapText="1"/>
    </xf>
    <xf numFmtId="0" fontId="50" fillId="0" borderId="27" xfId="0" applyFont="1" applyBorder="1" applyAlignment="1">
      <alignment horizontal="center" wrapText="1"/>
    </xf>
    <xf numFmtId="0" fontId="50" fillId="0" borderId="27" xfId="0" applyFont="1" applyBorder="1" applyAlignment="1">
      <alignment horizontal="center"/>
    </xf>
    <xf numFmtId="0" fontId="50" fillId="0" borderId="27" xfId="0" applyFont="1" applyBorder="1" applyAlignment="1">
      <alignment horizontal="center" vertical="center"/>
    </xf>
    <xf numFmtId="0" fontId="50" fillId="0" borderId="42" xfId="0" applyFont="1" applyBorder="1" applyAlignment="1">
      <alignment horizontal="center"/>
    </xf>
    <xf numFmtId="0" fontId="8" fillId="0" borderId="27" xfId="0" applyFont="1" applyBorder="1" applyAlignment="1">
      <alignment vertical="center" wrapText="1"/>
    </xf>
    <xf numFmtId="0" fontId="8" fillId="0" borderId="26" xfId="0" applyFont="1" applyBorder="1" applyAlignment="1">
      <alignment vertical="center"/>
    </xf>
    <xf numFmtId="0" fontId="8" fillId="0" borderId="7" xfId="0" applyFont="1" applyBorder="1"/>
    <xf numFmtId="0" fontId="9" fillId="0" borderId="26" xfId="0" applyFont="1" applyBorder="1"/>
    <xf numFmtId="0" fontId="9" fillId="0" borderId="27" xfId="0" applyFont="1" applyBorder="1" applyAlignment="1">
      <alignment horizontal="center" vertical="center"/>
    </xf>
    <xf numFmtId="0" fontId="0" fillId="0" borderId="28" xfId="0" applyBorder="1" applyAlignment="1">
      <alignment horizontal="left" vertical="center" wrapText="1"/>
    </xf>
    <xf numFmtId="0" fontId="8" fillId="0" borderId="7" xfId="0" applyFont="1" applyBorder="1" applyAlignment="1">
      <alignment horizontal="center"/>
    </xf>
    <xf numFmtId="0" fontId="8" fillId="0" borderId="26" xfId="0" applyFont="1" applyBorder="1" applyAlignment="1">
      <alignment horizontal="center"/>
    </xf>
    <xf numFmtId="0" fontId="8" fillId="0" borderId="34" xfId="0" applyFont="1" applyBorder="1" applyAlignment="1">
      <alignment horizontal="center"/>
    </xf>
    <xf numFmtId="0" fontId="8" fillId="0" borderId="44" xfId="0" applyFont="1" applyBorder="1"/>
    <xf numFmtId="0" fontId="8" fillId="0" borderId="7" xfId="0" applyFont="1" applyBorder="1" applyAlignment="1">
      <alignment horizontal="center" wrapText="1"/>
    </xf>
    <xf numFmtId="0" fontId="8" fillId="0" borderId="27" xfId="0" applyFont="1" applyBorder="1" applyAlignment="1">
      <alignment wrapText="1"/>
    </xf>
    <xf numFmtId="0" fontId="50" fillId="0" borderId="34" xfId="0" applyFont="1" applyBorder="1" applyAlignment="1">
      <alignment horizontal="center" vertical="center" wrapText="1"/>
    </xf>
    <xf numFmtId="0" fontId="50" fillId="0" borderId="27" xfId="0" applyFont="1" applyBorder="1" applyAlignment="1">
      <alignment horizontal="center" vertical="center" wrapText="1"/>
    </xf>
    <xf numFmtId="0" fontId="50" fillId="0" borderId="42" xfId="0" applyFont="1" applyBorder="1" applyAlignment="1">
      <alignment horizontal="center" vertical="center"/>
    </xf>
    <xf numFmtId="0" fontId="50" fillId="0" borderId="0" xfId="0" applyFont="1" applyAlignment="1">
      <alignment vertical="center"/>
    </xf>
    <xf numFmtId="0" fontId="8" fillId="0" borderId="9" xfId="0" applyFont="1" applyBorder="1" applyAlignment="1">
      <alignment vertical="center"/>
    </xf>
    <xf numFmtId="0" fontId="8" fillId="0" borderId="26" xfId="0" applyFont="1" applyBorder="1" applyAlignment="1">
      <alignment horizontal="center" vertical="center"/>
    </xf>
    <xf numFmtId="0" fontId="9" fillId="0" borderId="63" xfId="0" applyFont="1" applyBorder="1" applyAlignment="1">
      <alignment vertical="center"/>
    </xf>
    <xf numFmtId="0" fontId="9" fillId="0" borderId="38" xfId="0" applyFont="1" applyBorder="1" applyAlignment="1">
      <alignment horizontal="center" vertical="center"/>
    </xf>
    <xf numFmtId="0" fontId="50" fillId="0" borderId="0" xfId="0" applyFont="1" applyAlignment="1">
      <alignment horizontal="center" vertical="center" wrapText="1"/>
    </xf>
    <xf numFmtId="0" fontId="50" fillId="0" borderId="0" xfId="0" applyFont="1" applyAlignment="1">
      <alignment horizontal="center" vertical="center"/>
    </xf>
    <xf numFmtId="0" fontId="8" fillId="0" borderId="26" xfId="0" applyFont="1" applyBorder="1" applyAlignment="1">
      <alignment vertical="center" wrapText="1"/>
    </xf>
    <xf numFmtId="0" fontId="8" fillId="0" borderId="7" xfId="0" applyFont="1" applyBorder="1" applyAlignment="1">
      <alignment vertical="center"/>
    </xf>
    <xf numFmtId="0" fontId="9" fillId="0" borderId="26" xfId="0" applyFont="1" applyBorder="1" applyAlignment="1">
      <alignment vertical="center"/>
    </xf>
    <xf numFmtId="0" fontId="8" fillId="0" borderId="2" xfId="0" applyFont="1" applyBorder="1" applyAlignment="1">
      <alignment vertical="center"/>
    </xf>
    <xf numFmtId="0" fontId="8" fillId="0" borderId="2"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vertical="center"/>
    </xf>
    <xf numFmtId="0" fontId="8" fillId="0" borderId="7" xfId="0" applyFont="1" applyBorder="1" applyAlignment="1">
      <alignment horizontal="center" vertical="center" wrapText="1"/>
    </xf>
    <xf numFmtId="0" fontId="8" fillId="0" borderId="36" xfId="0" applyFont="1" applyBorder="1" applyAlignment="1">
      <alignment vertical="center"/>
    </xf>
    <xf numFmtId="0" fontId="8" fillId="0" borderId="58" xfId="0" applyFont="1" applyBorder="1" applyAlignment="1">
      <alignment vertical="center" wrapText="1"/>
    </xf>
    <xf numFmtId="0" fontId="8" fillId="0" borderId="24" xfId="0" applyFont="1" applyBorder="1" applyAlignment="1">
      <alignment horizontal="center" vertical="center"/>
    </xf>
    <xf numFmtId="0" fontId="8" fillId="0" borderId="9" xfId="0" applyFont="1" applyBorder="1" applyAlignment="1">
      <alignment vertical="center" wrapText="1"/>
    </xf>
    <xf numFmtId="0" fontId="8" fillId="0" borderId="7" xfId="0" applyFont="1" applyBorder="1" applyAlignment="1">
      <alignment horizontal="center" vertical="center"/>
    </xf>
    <xf numFmtId="0" fontId="8" fillId="0" borderId="43" xfId="0" applyFont="1" applyBorder="1" applyAlignment="1">
      <alignment vertical="center" wrapText="1"/>
    </xf>
    <xf numFmtId="0" fontId="8" fillId="0" borderId="10" xfId="0" applyFont="1" applyBorder="1" applyAlignment="1">
      <alignment vertical="center"/>
    </xf>
    <xf numFmtId="0" fontId="8" fillId="0" borderId="43" xfId="0" applyFont="1" applyBorder="1" applyAlignment="1">
      <alignment horizontal="center" vertical="center"/>
    </xf>
    <xf numFmtId="0" fontId="8" fillId="0" borderId="28" xfId="0" applyFont="1" applyBorder="1" applyAlignment="1">
      <alignment horizontal="left" vertical="center"/>
    </xf>
    <xf numFmtId="0" fontId="8" fillId="4" borderId="43" xfId="0" applyFont="1" applyFill="1" applyBorder="1" applyAlignment="1">
      <alignment vertical="center"/>
    </xf>
    <xf numFmtId="0" fontId="9" fillId="0" borderId="43" xfId="0" applyFont="1" applyBorder="1" applyAlignment="1">
      <alignment vertical="center"/>
    </xf>
    <xf numFmtId="0" fontId="8" fillId="0" borderId="42" xfId="0" applyFont="1" applyBorder="1" applyAlignment="1">
      <alignment vertical="center"/>
    </xf>
    <xf numFmtId="0" fontId="8" fillId="0" borderId="28" xfId="0" applyFont="1" applyBorder="1" applyAlignment="1">
      <alignment vertical="center"/>
    </xf>
    <xf numFmtId="0" fontId="9" fillId="0" borderId="27" xfId="0" applyFont="1" applyBorder="1" applyAlignment="1">
      <alignment vertical="center"/>
    </xf>
    <xf numFmtId="0" fontId="8" fillId="0" borderId="48" xfId="0" applyFont="1" applyBorder="1" applyAlignment="1">
      <alignment vertical="center"/>
    </xf>
    <xf numFmtId="0" fontId="8" fillId="0" borderId="29" xfId="0" applyFont="1" applyBorder="1" applyAlignment="1">
      <alignment vertical="center"/>
    </xf>
    <xf numFmtId="0" fontId="8" fillId="4" borderId="27" xfId="0" applyFont="1" applyFill="1" applyBorder="1"/>
    <xf numFmtId="0" fontId="9" fillId="0" borderId="0" xfId="0" applyFont="1"/>
    <xf numFmtId="0" fontId="8" fillId="0" borderId="42" xfId="0" applyFont="1" applyBorder="1"/>
    <xf numFmtId="0" fontId="8" fillId="0" borderId="36" xfId="0" applyFont="1" applyBorder="1" applyAlignment="1">
      <alignment horizontal="center"/>
    </xf>
    <xf numFmtId="0" fontId="8" fillId="0" borderId="42" xfId="0" applyFont="1" applyBorder="1" applyAlignment="1">
      <alignment horizontal="center"/>
    </xf>
    <xf numFmtId="0" fontId="8" fillId="0" borderId="56" xfId="0" applyFont="1" applyBorder="1" applyAlignment="1">
      <alignment vertical="center"/>
    </xf>
    <xf numFmtId="0" fontId="8" fillId="0" borderId="34" xfId="0" applyFont="1" applyBorder="1" applyAlignment="1">
      <alignment vertical="center"/>
    </xf>
    <xf numFmtId="0" fontId="8" fillId="4" borderId="27" xfId="0" applyFont="1" applyFill="1" applyBorder="1" applyAlignment="1">
      <alignment horizontal="center" vertical="center"/>
    </xf>
    <xf numFmtId="0" fontId="8" fillId="0" borderId="44" xfId="0" applyFont="1" applyBorder="1" applyAlignment="1">
      <alignment vertical="center"/>
    </xf>
    <xf numFmtId="0" fontId="8" fillId="0" borderId="43" xfId="0" applyFont="1" applyBorder="1"/>
    <xf numFmtId="0" fontId="8" fillId="0" borderId="43" xfId="0" applyFont="1" applyBorder="1" applyAlignment="1">
      <alignment horizontal="center"/>
    </xf>
    <xf numFmtId="0" fontId="8" fillId="0" borderId="33" xfId="0" applyFont="1" applyBorder="1" applyAlignment="1">
      <alignment horizontal="center" wrapText="1"/>
    </xf>
    <xf numFmtId="0" fontId="51" fillId="0" borderId="26" xfId="0" applyFont="1" applyBorder="1"/>
    <xf numFmtId="0" fontId="51" fillId="0" borderId="26" xfId="0" applyFont="1" applyBorder="1" applyAlignment="1">
      <alignment horizontal="center"/>
    </xf>
    <xf numFmtId="0" fontId="8" fillId="0" borderId="26" xfId="0" applyFont="1" applyBorder="1" applyAlignment="1">
      <alignment horizontal="left"/>
    </xf>
    <xf numFmtId="0" fontId="52" fillId="0" borderId="26" xfId="0" applyFont="1" applyBorder="1"/>
    <xf numFmtId="0" fontId="52" fillId="0" borderId="26" xfId="0" applyFont="1" applyBorder="1" applyAlignment="1">
      <alignment horizontal="center"/>
    </xf>
    <xf numFmtId="0" fontId="0" fillId="0" borderId="2" xfId="0" applyBorder="1" applyAlignment="1">
      <alignment horizontal="center" vertical="center"/>
    </xf>
    <xf numFmtId="0" fontId="8" fillId="4" borderId="26" xfId="0" applyFont="1" applyFill="1" applyBorder="1"/>
    <xf numFmtId="0" fontId="9" fillId="0" borderId="0" xfId="0" applyFont="1" applyAlignment="1">
      <alignment vertical="center"/>
    </xf>
    <xf numFmtId="0" fontId="8" fillId="0" borderId="7" xfId="0" applyFont="1" applyBorder="1" applyAlignment="1">
      <alignment vertical="center" wrapText="1"/>
    </xf>
    <xf numFmtId="0" fontId="9" fillId="0" borderId="28" xfId="0" applyFont="1" applyBorder="1" applyAlignment="1">
      <alignment vertical="center"/>
    </xf>
    <xf numFmtId="0" fontId="8" fillId="0" borderId="37" xfId="0" applyFont="1" applyBorder="1" applyAlignment="1">
      <alignment vertical="center"/>
    </xf>
    <xf numFmtId="2" fontId="8" fillId="0" borderId="26" xfId="0" applyNumberFormat="1" applyFont="1" applyBorder="1" applyAlignment="1">
      <alignment horizontal="center" vertical="center"/>
    </xf>
    <xf numFmtId="0" fontId="8" fillId="0" borderId="48" xfId="0" applyFont="1" applyBorder="1"/>
    <xf numFmtId="0" fontId="9" fillId="0" borderId="42" xfId="0" applyFont="1" applyBorder="1"/>
    <xf numFmtId="0" fontId="8" fillId="4" borderId="7" xfId="0" applyFont="1" applyFill="1" applyBorder="1" applyAlignment="1">
      <alignment vertical="center"/>
    </xf>
    <xf numFmtId="0" fontId="9" fillId="0" borderId="42" xfId="0" applyFont="1" applyBorder="1" applyAlignment="1">
      <alignment vertical="center"/>
    </xf>
    <xf numFmtId="0" fontId="9" fillId="0" borderId="26" xfId="0" applyFont="1" applyBorder="1" applyAlignment="1">
      <alignment horizontal="center" vertical="center"/>
    </xf>
    <xf numFmtId="0" fontId="8" fillId="0" borderId="5" xfId="0" applyFont="1" applyBorder="1" applyAlignment="1">
      <alignment vertical="center"/>
    </xf>
    <xf numFmtId="0" fontId="8" fillId="0" borderId="10" xfId="0" applyFont="1" applyBorder="1"/>
    <xf numFmtId="0" fontId="9" fillId="0" borderId="43" xfId="0" applyFont="1" applyBorder="1"/>
    <xf numFmtId="0" fontId="8" fillId="0" borderId="10" xfId="0" applyFont="1" applyBorder="1" applyAlignment="1">
      <alignment horizontal="center"/>
    </xf>
    <xf numFmtId="0" fontId="8" fillId="4" borderId="34" xfId="0" applyFont="1" applyFill="1" applyBorder="1" applyAlignment="1">
      <alignment horizontal="center" vertical="center"/>
    </xf>
    <xf numFmtId="0" fontId="9" fillId="4" borderId="27" xfId="0" applyFont="1" applyFill="1" applyBorder="1" applyAlignment="1">
      <alignment vertical="center"/>
    </xf>
    <xf numFmtId="0" fontId="8" fillId="4" borderId="38" xfId="0" applyFont="1" applyFill="1" applyBorder="1"/>
    <xf numFmtId="0" fontId="9" fillId="4" borderId="27" xfId="0" applyFont="1" applyFill="1" applyBorder="1"/>
    <xf numFmtId="0" fontId="8" fillId="4" borderId="27" xfId="0" applyFont="1" applyFill="1" applyBorder="1" applyAlignment="1">
      <alignment horizontal="center"/>
    </xf>
    <xf numFmtId="0" fontId="9" fillId="0" borderId="43" xfId="0" applyFont="1" applyBorder="1" applyAlignment="1">
      <alignment horizontal="center" vertical="center"/>
    </xf>
    <xf numFmtId="0" fontId="8" fillId="15" borderId="27" xfId="0" applyFont="1" applyFill="1" applyBorder="1" applyAlignment="1">
      <alignment horizontal="center" vertical="center"/>
    </xf>
    <xf numFmtId="0" fontId="8" fillId="15" borderId="27" xfId="0" applyFont="1" applyFill="1" applyBorder="1" applyAlignment="1">
      <alignment horizontal="center"/>
    </xf>
    <xf numFmtId="0" fontId="8" fillId="15" borderId="34" xfId="0" applyFont="1" applyFill="1" applyBorder="1" applyAlignment="1">
      <alignment horizontal="center"/>
    </xf>
    <xf numFmtId="0" fontId="8" fillId="4" borderId="0" xfId="0" applyFont="1" applyFill="1" applyAlignment="1">
      <alignment horizontal="center"/>
    </xf>
    <xf numFmtId="0" fontId="8" fillId="4" borderId="28" xfId="0" applyFont="1" applyFill="1" applyBorder="1" applyAlignment="1">
      <alignment horizontal="center" vertical="center"/>
    </xf>
    <xf numFmtId="0" fontId="8" fillId="4" borderId="27" xfId="0" applyFont="1" applyFill="1" applyBorder="1" applyAlignment="1">
      <alignment vertical="center" wrapText="1"/>
    </xf>
    <xf numFmtId="0" fontId="9" fillId="4" borderId="27" xfId="0" applyFont="1" applyFill="1" applyBorder="1" applyAlignment="1">
      <alignment horizontal="center" vertical="center"/>
    </xf>
    <xf numFmtId="0" fontId="8" fillId="4" borderId="34" xfId="0" applyFont="1" applyFill="1" applyBorder="1" applyAlignment="1">
      <alignment horizontal="center"/>
    </xf>
    <xf numFmtId="0" fontId="8" fillId="4" borderId="44" xfId="0" applyFont="1" applyFill="1" applyBorder="1"/>
    <xf numFmtId="0" fontId="8" fillId="4" borderId="0" xfId="0" applyFont="1" applyFill="1"/>
    <xf numFmtId="0" fontId="8" fillId="4" borderId="7" xfId="0" applyFont="1" applyFill="1" applyBorder="1" applyAlignment="1">
      <alignment horizontal="center" vertical="center" wrapText="1"/>
    </xf>
    <xf numFmtId="0" fontId="8" fillId="4" borderId="0" xfId="0" applyFont="1" applyFill="1" applyAlignment="1">
      <alignment horizontal="center" vertical="center"/>
    </xf>
    <xf numFmtId="0" fontId="8" fillId="4" borderId="27" xfId="0" applyFont="1" applyFill="1" applyBorder="1" applyAlignment="1">
      <alignment vertical="center"/>
    </xf>
    <xf numFmtId="0" fontId="8" fillId="4" borderId="38" xfId="0" applyFont="1" applyFill="1" applyBorder="1" applyAlignment="1">
      <alignment horizontal="center" vertical="center" wrapText="1"/>
    </xf>
    <xf numFmtId="0" fontId="8" fillId="4" borderId="44" xfId="0" applyFont="1" applyFill="1" applyBorder="1" applyAlignment="1">
      <alignment vertical="center"/>
    </xf>
    <xf numFmtId="0" fontId="8" fillId="4" borderId="0" xfId="0" applyFont="1" applyFill="1" applyAlignment="1">
      <alignment vertical="center"/>
    </xf>
    <xf numFmtId="0" fontId="9" fillId="0" borderId="38" xfId="0" applyFont="1" applyBorder="1" applyAlignment="1">
      <alignment vertical="center"/>
    </xf>
    <xf numFmtId="0" fontId="9" fillId="0" borderId="38" xfId="0" applyFont="1" applyBorder="1" applyAlignment="1">
      <alignment vertical="center" wrapText="1"/>
    </xf>
    <xf numFmtId="0" fontId="9" fillId="0" borderId="38" xfId="0" applyFont="1" applyBorder="1" applyAlignment="1">
      <alignment horizontal="center" vertical="center" wrapText="1"/>
    </xf>
    <xf numFmtId="0" fontId="9" fillId="0" borderId="36" xfId="0" applyFont="1" applyBorder="1" applyAlignment="1">
      <alignment vertical="center"/>
    </xf>
    <xf numFmtId="0" fontId="8" fillId="4" borderId="36" xfId="0" applyFont="1" applyFill="1" applyBorder="1" applyAlignment="1">
      <alignment horizontal="center" vertical="center" wrapText="1"/>
    </xf>
    <xf numFmtId="0" fontId="8" fillId="4" borderId="27" xfId="0" applyFont="1" applyFill="1" applyBorder="1" applyAlignment="1">
      <alignment horizontal="center" vertical="center" wrapText="1"/>
    </xf>
    <xf numFmtId="0" fontId="8" fillId="15" borderId="34" xfId="0" applyFont="1" applyFill="1" applyBorder="1" applyAlignment="1">
      <alignment horizontal="center" vertical="center"/>
    </xf>
    <xf numFmtId="0" fontId="8" fillId="0" borderId="43" xfId="0" applyFont="1" applyBorder="1" applyAlignment="1">
      <alignment vertical="center"/>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0" fontId="8" fillId="0" borderId="64" xfId="0" applyFont="1" applyBorder="1"/>
    <xf numFmtId="0" fontId="9" fillId="0" borderId="64" xfId="0" applyFont="1" applyBorder="1" applyAlignment="1">
      <alignment vertical="center"/>
    </xf>
    <xf numFmtId="0" fontId="8" fillId="4" borderId="64" xfId="0" applyFont="1" applyFill="1" applyBorder="1"/>
    <xf numFmtId="0" fontId="9" fillId="0" borderId="64" xfId="0" applyFont="1" applyBorder="1"/>
    <xf numFmtId="0" fontId="8" fillId="0" borderId="64" xfId="0" applyFont="1" applyBorder="1" applyAlignment="1">
      <alignment horizontal="center"/>
    </xf>
    <xf numFmtId="0" fontId="9" fillId="0" borderId="64" xfId="0" applyFont="1" applyBorder="1" applyAlignment="1">
      <alignment horizontal="center" vertical="center"/>
    </xf>
    <xf numFmtId="0" fontId="8" fillId="0" borderId="75" xfId="0" applyFont="1" applyBorder="1"/>
    <xf numFmtId="0" fontId="8" fillId="0" borderId="66" xfId="0" applyFont="1" applyBorder="1" applyAlignment="1">
      <alignment horizontal="center" wrapText="1"/>
    </xf>
    <xf numFmtId="0" fontId="8" fillId="0" borderId="67" xfId="0" applyFont="1" applyBorder="1"/>
    <xf numFmtId="0" fontId="9" fillId="0" borderId="67" xfId="0" applyFont="1" applyBorder="1" applyAlignment="1">
      <alignment vertical="center"/>
    </xf>
    <xf numFmtId="0" fontId="9" fillId="0" borderId="67" xfId="0" applyFont="1" applyBorder="1"/>
    <xf numFmtId="0" fontId="8" fillId="0" borderId="67" xfId="0" applyFont="1" applyBorder="1" applyAlignment="1">
      <alignment horizontal="center"/>
    </xf>
    <xf numFmtId="0" fontId="9" fillId="0" borderId="67" xfId="0" applyFont="1" applyBorder="1" applyAlignment="1">
      <alignment horizontal="center" vertical="center"/>
    </xf>
    <xf numFmtId="0" fontId="8" fillId="0" borderId="76" xfId="0" applyFont="1" applyBorder="1"/>
    <xf numFmtId="0" fontId="8" fillId="0" borderId="68" xfId="0" applyFont="1" applyBorder="1" applyAlignment="1">
      <alignment horizontal="center" wrapText="1"/>
    </xf>
    <xf numFmtId="0" fontId="8" fillId="0" borderId="38" xfId="0" applyFont="1" applyBorder="1" applyAlignment="1">
      <alignment wrapText="1"/>
    </xf>
    <xf numFmtId="0" fontId="8" fillId="0" borderId="38" xfId="0" applyFont="1" applyBorder="1" applyAlignment="1">
      <alignment horizontal="center" wrapText="1"/>
    </xf>
    <xf numFmtId="0" fontId="8" fillId="0" borderId="2" xfId="0" applyFont="1" applyBorder="1"/>
    <xf numFmtId="0" fontId="8" fillId="0" borderId="2" xfId="0" applyFont="1" applyBorder="1" applyAlignment="1">
      <alignment horizontal="center"/>
    </xf>
    <xf numFmtId="0" fontId="8" fillId="0" borderId="34" xfId="0" applyFont="1" applyBorder="1"/>
    <xf numFmtId="0" fontId="51" fillId="0" borderId="28" xfId="0" applyFont="1" applyBorder="1" applyAlignment="1">
      <alignment vertical="center"/>
    </xf>
    <xf numFmtId="0" fontId="51" fillId="0" borderId="27" xfId="0" applyFont="1" applyBorder="1" applyAlignment="1">
      <alignment horizontal="center" vertical="center"/>
    </xf>
    <xf numFmtId="0" fontId="0" fillId="0" borderId="27" xfId="0" applyBorder="1" applyAlignment="1">
      <alignment horizontal="left" vertical="center" wrapText="1"/>
    </xf>
    <xf numFmtId="0" fontId="53" fillId="0" borderId="27" xfId="0" applyFont="1" applyBorder="1" applyAlignment="1">
      <alignment vertical="center" wrapText="1"/>
    </xf>
    <xf numFmtId="0" fontId="8" fillId="28" borderId="27" xfId="0" applyFont="1" applyFill="1" applyBorder="1" applyAlignment="1">
      <alignment vertical="center"/>
    </xf>
    <xf numFmtId="0" fontId="8" fillId="28" borderId="27" xfId="0" applyFont="1" applyFill="1" applyBorder="1" applyAlignment="1">
      <alignment horizontal="center" vertical="center" wrapText="1"/>
    </xf>
    <xf numFmtId="0" fontId="9" fillId="28" borderId="38" xfId="0" applyFont="1" applyFill="1" applyBorder="1" applyAlignment="1">
      <alignment horizontal="center" vertical="center"/>
    </xf>
    <xf numFmtId="0" fontId="8" fillId="4" borderId="43" xfId="0" applyFont="1" applyFill="1" applyBorder="1"/>
    <xf numFmtId="0" fontId="8" fillId="4" borderId="43" xfId="0" applyFont="1" applyFill="1" applyBorder="1" applyAlignment="1">
      <alignment horizontal="center"/>
    </xf>
    <xf numFmtId="0" fontId="8" fillId="4" borderId="42" xfId="0" applyFont="1" applyFill="1" applyBorder="1" applyAlignment="1">
      <alignment horizontal="center" vertical="center"/>
    </xf>
    <xf numFmtId="0" fontId="8" fillId="4" borderId="7" xfId="0" applyFont="1" applyFill="1" applyBorder="1" applyAlignment="1">
      <alignment horizontal="center" wrapText="1"/>
    </xf>
    <xf numFmtId="0" fontId="8" fillId="0" borderId="2" xfId="0" applyFont="1" applyBorder="1" applyAlignment="1">
      <alignment horizontal="center" vertical="center" wrapText="1"/>
    </xf>
    <xf numFmtId="0" fontId="46" fillId="11" borderId="2" xfId="0" applyFont="1" applyFill="1" applyBorder="1" applyAlignment="1">
      <alignment horizontal="center" vertical="center"/>
    </xf>
    <xf numFmtId="0" fontId="46" fillId="0" borderId="38" xfId="0" applyFont="1" applyBorder="1" applyAlignment="1">
      <alignment horizontal="center" vertical="center"/>
    </xf>
    <xf numFmtId="0" fontId="8" fillId="0" borderId="36" xfId="0" applyFont="1" applyBorder="1" applyAlignment="1">
      <alignment horizontal="center" vertical="center" wrapText="1"/>
    </xf>
    <xf numFmtId="0" fontId="8" fillId="0" borderId="67" xfId="0" applyFont="1" applyBorder="1" applyAlignment="1">
      <alignment vertical="center"/>
    </xf>
    <xf numFmtId="0" fontId="9" fillId="0" borderId="39" xfId="0" applyFont="1" applyBorder="1" applyAlignment="1">
      <alignment horizontal="center" vertical="center"/>
    </xf>
    <xf numFmtId="0" fontId="50" fillId="0" borderId="41" xfId="0" applyFont="1" applyBorder="1" applyAlignment="1">
      <alignment horizontal="center"/>
    </xf>
    <xf numFmtId="0" fontId="8" fillId="28" borderId="28" xfId="0" applyFont="1" applyFill="1" applyBorder="1" applyAlignment="1">
      <alignment horizontal="center" vertical="center"/>
    </xf>
    <xf numFmtId="0" fontId="8" fillId="28" borderId="2" xfId="0" applyFont="1" applyFill="1" applyBorder="1" applyAlignment="1">
      <alignment horizontal="center" vertical="center" wrapText="1"/>
    </xf>
    <xf numFmtId="0" fontId="8" fillId="28" borderId="34" xfId="0" applyFont="1" applyFill="1" applyBorder="1" applyAlignment="1">
      <alignment horizontal="center" vertical="center" wrapText="1"/>
    </xf>
    <xf numFmtId="0" fontId="8" fillId="28" borderId="27" xfId="0" applyFont="1" applyFill="1" applyBorder="1" applyAlignment="1">
      <alignment vertical="center" wrapText="1"/>
    </xf>
    <xf numFmtId="0" fontId="8" fillId="28" borderId="39" xfId="0" applyFont="1" applyFill="1" applyBorder="1" applyAlignment="1">
      <alignment horizontal="center" vertical="center"/>
    </xf>
    <xf numFmtId="0" fontId="8" fillId="0" borderId="2" xfId="0" applyFont="1" applyBorder="1" applyAlignment="1">
      <alignment horizontal="center" wrapText="1"/>
    </xf>
    <xf numFmtId="0" fontId="9" fillId="0" borderId="30" xfId="0" applyFont="1" applyBorder="1" applyAlignment="1">
      <alignment vertical="center"/>
    </xf>
    <xf numFmtId="0" fontId="0" fillId="0" borderId="2" xfId="0" applyBorder="1" applyAlignment="1">
      <alignment vertical="center"/>
    </xf>
    <xf numFmtId="0" fontId="12" fillId="10" borderId="84" xfId="0" applyFont="1" applyFill="1" applyBorder="1" applyAlignment="1">
      <alignment horizontal="center" vertical="center" wrapText="1"/>
    </xf>
    <xf numFmtId="0" fontId="0" fillId="0" borderId="8" xfId="0" applyBorder="1" applyAlignment="1">
      <alignment vertical="center"/>
    </xf>
    <xf numFmtId="0" fontId="30" fillId="0" borderId="2" xfId="0" applyFont="1" applyBorder="1" applyAlignment="1">
      <alignment vertical="center"/>
    </xf>
    <xf numFmtId="0" fontId="30" fillId="28" borderId="2" xfId="0" applyFont="1" applyFill="1" applyBorder="1" applyAlignment="1">
      <alignment vertical="center"/>
    </xf>
    <xf numFmtId="0" fontId="8" fillId="0" borderId="5" xfId="0" applyFont="1" applyBorder="1"/>
    <xf numFmtId="0" fontId="8" fillId="0" borderId="5" xfId="0" applyFont="1" applyBorder="1" applyAlignment="1">
      <alignment horizontal="center" wrapText="1"/>
    </xf>
    <xf numFmtId="0" fontId="0" fillId="0" borderId="5" xfId="0" applyBorder="1"/>
    <xf numFmtId="0" fontId="59" fillId="10" borderId="2" xfId="0" applyFont="1" applyFill="1" applyBorder="1" applyAlignment="1">
      <alignment horizontal="center" vertical="center" wrapText="1"/>
    </xf>
    <xf numFmtId="0" fontId="61" fillId="0" borderId="2" xfId="0" applyFont="1" applyBorder="1" applyAlignment="1">
      <alignment horizontal="center" wrapText="1"/>
    </xf>
    <xf numFmtId="0" fontId="60" fillId="0" borderId="7" xfId="0" applyFont="1" applyBorder="1" applyAlignment="1">
      <alignment vertical="center"/>
    </xf>
    <xf numFmtId="0" fontId="60" fillId="0" borderId="2" xfId="0" applyFont="1" applyBorder="1" applyAlignment="1">
      <alignment vertical="center"/>
    </xf>
    <xf numFmtId="0" fontId="60" fillId="0" borderId="2" xfId="0" applyFont="1" applyBorder="1"/>
    <xf numFmtId="0" fontId="60" fillId="4" borderId="2" xfId="0" applyFont="1" applyFill="1" applyBorder="1"/>
    <xf numFmtId="0" fontId="60" fillId="4" borderId="2" xfId="0" applyFont="1" applyFill="1" applyBorder="1" applyAlignment="1">
      <alignment vertical="center"/>
    </xf>
    <xf numFmtId="0" fontId="30" fillId="28" borderId="5" xfId="0" applyFont="1" applyFill="1" applyBorder="1" applyAlignment="1">
      <alignment vertical="center"/>
    </xf>
    <xf numFmtId="0" fontId="0" fillId="0" borderId="7" xfId="0" applyBorder="1"/>
    <xf numFmtId="0" fontId="9" fillId="0" borderId="37" xfId="0" applyFont="1" applyBorder="1"/>
    <xf numFmtId="0" fontId="62" fillId="0" borderId="5" xfId="0" applyFont="1" applyBorder="1" applyAlignment="1">
      <alignment vertical="center"/>
    </xf>
    <xf numFmtId="0" fontId="0" fillId="11" borderId="27" xfId="0" applyFill="1" applyBorder="1" applyAlignment="1">
      <alignment horizontal="center" vertical="center" wrapText="1"/>
    </xf>
    <xf numFmtId="0" fontId="0" fillId="11" borderId="34" xfId="0" applyFill="1" applyBorder="1" applyAlignment="1">
      <alignment vertical="center"/>
    </xf>
    <xf numFmtId="0" fontId="2" fillId="17" borderId="98" xfId="0" applyFont="1" applyFill="1" applyBorder="1" applyAlignment="1">
      <alignment horizontal="center" vertical="center" wrapText="1"/>
    </xf>
    <xf numFmtId="0" fontId="2" fillId="17" borderId="87" xfId="0" applyFont="1" applyFill="1" applyBorder="1" applyAlignment="1">
      <alignment horizontal="center" vertical="center" wrapText="1"/>
    </xf>
    <xf numFmtId="0" fontId="63" fillId="0" borderId="0" xfId="0" applyFont="1"/>
    <xf numFmtId="0" fontId="64" fillId="0" borderId="2" xfId="0" applyFont="1" applyBorder="1" applyAlignment="1">
      <alignment horizontal="left" vertical="center"/>
    </xf>
    <xf numFmtId="0" fontId="63" fillId="0" borderId="27" xfId="0" applyFont="1" applyBorder="1"/>
    <xf numFmtId="0" fontId="0" fillId="0" borderId="28" xfId="0" applyBorder="1" applyAlignment="1">
      <alignment vertical="center"/>
    </xf>
    <xf numFmtId="0" fontId="26" fillId="0" borderId="28" xfId="0" applyFont="1" applyBorder="1"/>
    <xf numFmtId="0" fontId="3" fillId="0" borderId="42" xfId="0" applyFont="1" applyBorder="1" applyAlignment="1">
      <alignment horizontal="right"/>
    </xf>
    <xf numFmtId="0" fontId="3" fillId="0" borderId="48" xfId="0" applyFont="1" applyBorder="1" applyAlignment="1">
      <alignment vertical="center" wrapText="1"/>
    </xf>
    <xf numFmtId="0" fontId="0" fillId="0" borderId="101" xfId="0" applyBorder="1" applyAlignment="1">
      <alignment vertical="center"/>
    </xf>
    <xf numFmtId="0" fontId="0" fillId="0" borderId="102" xfId="0" applyBorder="1" applyAlignment="1">
      <alignment vertical="center"/>
    </xf>
    <xf numFmtId="0" fontId="0" fillId="0" borderId="97" xfId="0" applyBorder="1"/>
    <xf numFmtId="0" fontId="63" fillId="0" borderId="36" xfId="0" applyFont="1" applyBorder="1"/>
    <xf numFmtId="0" fontId="64" fillId="0" borderId="7" xfId="0" applyFont="1" applyBorder="1" applyAlignment="1">
      <alignment horizontal="left" vertical="center"/>
    </xf>
    <xf numFmtId="0" fontId="64" fillId="0" borderId="5" xfId="0" applyFont="1" applyBorder="1" applyAlignment="1">
      <alignment horizontal="left" vertical="center"/>
    </xf>
    <xf numFmtId="0" fontId="63" fillId="0" borderId="38" xfId="0" applyFont="1" applyBorder="1" applyAlignment="1">
      <alignment wrapText="1"/>
    </xf>
    <xf numFmtId="0" fontId="0" fillId="0" borderId="82" xfId="0" applyBorder="1"/>
    <xf numFmtId="0" fontId="0" fillId="0" borderId="35" xfId="0" applyBorder="1" applyAlignment="1">
      <alignment vertical="center"/>
    </xf>
    <xf numFmtId="0" fontId="0" fillId="0" borderId="35" xfId="0" applyBorder="1" applyAlignment="1">
      <alignment horizontal="center" vertical="center" wrapText="1"/>
    </xf>
    <xf numFmtId="0" fontId="0" fillId="9" borderId="36" xfId="0" applyFill="1" applyBorder="1" applyAlignment="1">
      <alignment horizontal="center" vertical="center" wrapText="1"/>
    </xf>
    <xf numFmtId="0" fontId="8" fillId="0" borderId="109"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58" xfId="0" applyFont="1" applyBorder="1" applyAlignment="1">
      <alignment horizontal="center" vertical="center"/>
    </xf>
    <xf numFmtId="0" fontId="50" fillId="0" borderId="34" xfId="0" applyFont="1" applyBorder="1" applyAlignment="1">
      <alignment vertical="center"/>
    </xf>
    <xf numFmtId="0" fontId="8" fillId="0" borderId="66" xfId="0" applyFont="1" applyBorder="1" applyAlignment="1">
      <alignment horizontal="center"/>
    </xf>
    <xf numFmtId="0" fontId="8" fillId="0" borderId="65" xfId="0" applyFont="1" applyBorder="1" applyAlignment="1">
      <alignment horizontal="center"/>
    </xf>
    <xf numFmtId="0" fontId="8" fillId="0" borderId="111" xfId="0" applyFont="1" applyBorder="1" applyAlignment="1">
      <alignment horizontal="center" vertical="center"/>
    </xf>
    <xf numFmtId="0" fontId="8" fillId="0" borderId="109" xfId="0" applyFont="1" applyBorder="1" applyAlignment="1">
      <alignment vertical="center"/>
    </xf>
    <xf numFmtId="0" fontId="3" fillId="0" borderId="54" xfId="0" applyFont="1" applyBorder="1" applyAlignment="1">
      <alignment wrapText="1"/>
    </xf>
    <xf numFmtId="0" fontId="0" fillId="0" borderId="96" xfId="0" applyBorder="1"/>
    <xf numFmtId="0" fontId="26" fillId="0" borderId="28" xfId="0" applyFont="1" applyBorder="1" applyAlignment="1">
      <alignment wrapText="1"/>
    </xf>
    <xf numFmtId="0" fontId="3" fillId="0" borderId="28" xfId="0" applyFont="1" applyBorder="1" applyAlignment="1">
      <alignment horizontal="left" wrapText="1"/>
    </xf>
    <xf numFmtId="0" fontId="37" fillId="0" borderId="35" xfId="0" applyFont="1" applyBorder="1"/>
    <xf numFmtId="0" fontId="37" fillId="0" borderId="34" xfId="0" applyFont="1" applyBorder="1"/>
    <xf numFmtId="0" fontId="19" fillId="0" borderId="91" xfId="0" applyFont="1" applyBorder="1" applyAlignment="1">
      <alignment horizontal="center" vertical="center" wrapText="1"/>
    </xf>
    <xf numFmtId="0" fontId="16" fillId="0" borderId="37" xfId="0" applyFont="1" applyBorder="1" applyAlignment="1">
      <alignment horizontal="center" vertical="center"/>
    </xf>
    <xf numFmtId="0" fontId="19" fillId="0" borderId="34" xfId="0" applyFont="1" applyBorder="1" applyAlignment="1">
      <alignment horizontal="center" vertical="center" wrapText="1"/>
    </xf>
    <xf numFmtId="0" fontId="19" fillId="0" borderId="49" xfId="0" applyFont="1" applyBorder="1" applyAlignment="1">
      <alignment horizontal="center" vertical="center" wrapText="1"/>
    </xf>
    <xf numFmtId="0" fontId="37" fillId="0" borderId="58" xfId="0" applyFont="1" applyBorder="1"/>
    <xf numFmtId="0" fontId="0" fillId="0" borderId="48" xfId="0" applyBorder="1" applyAlignment="1">
      <alignment horizontal="center" vertical="center"/>
    </xf>
    <xf numFmtId="0" fontId="3" fillId="0" borderId="39" xfId="0" applyFont="1" applyBorder="1" applyAlignment="1">
      <alignment horizontal="left" wrapText="1"/>
    </xf>
    <xf numFmtId="0" fontId="19" fillId="0" borderId="38" xfId="0" applyFont="1" applyBorder="1" applyAlignment="1">
      <alignment wrapText="1"/>
    </xf>
    <xf numFmtId="0" fontId="3" fillId="0" borderId="29" xfId="0" applyFont="1" applyBorder="1" applyAlignment="1">
      <alignment horizontal="left" wrapText="1"/>
    </xf>
    <xf numFmtId="0" fontId="19" fillId="0" borderId="36" xfId="0" applyFont="1" applyBorder="1" applyAlignment="1">
      <alignment wrapText="1"/>
    </xf>
    <xf numFmtId="0" fontId="3" fillId="0" borderId="97" xfId="0" applyFont="1" applyBorder="1" applyAlignment="1">
      <alignment wrapText="1"/>
    </xf>
    <xf numFmtId="0" fontId="8" fillId="0" borderId="31" xfId="0" applyFont="1" applyBorder="1" applyAlignment="1">
      <alignment horizontal="center" vertical="center" wrapText="1"/>
    </xf>
    <xf numFmtId="0" fontId="29" fillId="0" borderId="38" xfId="0" applyFont="1" applyBorder="1" applyAlignment="1">
      <alignment horizontal="center" vertical="center"/>
    </xf>
    <xf numFmtId="0" fontId="13" fillId="0" borderId="0" xfId="0" applyFont="1" applyAlignment="1">
      <alignment horizontal="center" vertical="center"/>
    </xf>
    <xf numFmtId="0" fontId="27" fillId="0" borderId="26" xfId="0" applyFont="1" applyBorder="1" applyAlignment="1">
      <alignment vertical="center" wrapText="1"/>
    </xf>
    <xf numFmtId="0" fontId="27" fillId="0" borderId="2" xfId="0" applyFont="1" applyBorder="1" applyAlignment="1">
      <alignment horizontal="center" vertical="center"/>
    </xf>
    <xf numFmtId="0" fontId="27" fillId="0" borderId="9" xfId="0" applyFont="1" applyBorder="1" applyAlignment="1">
      <alignment horizontal="center" vertical="center"/>
    </xf>
    <xf numFmtId="0" fontId="27" fillId="0" borderId="58" xfId="0" applyFont="1" applyBorder="1" applyAlignment="1">
      <alignment vertical="center" wrapText="1"/>
    </xf>
    <xf numFmtId="0" fontId="27" fillId="0" borderId="24" xfId="0" applyFont="1" applyBorder="1" applyAlignment="1">
      <alignment horizontal="center" vertical="center"/>
    </xf>
    <xf numFmtId="0" fontId="27" fillId="0" borderId="7" xfId="0" applyFont="1" applyBorder="1" applyAlignment="1">
      <alignment horizontal="left" vertical="center" wrapText="1"/>
    </xf>
    <xf numFmtId="0" fontId="27" fillId="4" borderId="43" xfId="0" applyFont="1" applyFill="1" applyBorder="1" applyAlignment="1">
      <alignment vertical="center"/>
    </xf>
    <xf numFmtId="0" fontId="29" fillId="0" borderId="43" xfId="0" applyFont="1" applyBorder="1" applyAlignment="1">
      <alignment vertical="center"/>
    </xf>
    <xf numFmtId="0" fontId="27" fillId="0" borderId="48" xfId="0" applyFont="1" applyBorder="1" applyAlignment="1">
      <alignment vertical="center"/>
    </xf>
    <xf numFmtId="0" fontId="29" fillId="0" borderId="0" xfId="0" applyFont="1" applyAlignment="1">
      <alignment vertical="center"/>
    </xf>
    <xf numFmtId="0" fontId="27" fillId="0" borderId="56" xfId="0" applyFont="1" applyBorder="1" applyAlignment="1">
      <alignment vertical="center"/>
    </xf>
    <xf numFmtId="0" fontId="42" fillId="0" borderId="34" xfId="0" applyFont="1" applyBorder="1" applyAlignment="1">
      <alignment vertical="center"/>
    </xf>
    <xf numFmtId="0" fontId="27" fillId="0" borderId="31" xfId="0" applyFont="1" applyBorder="1" applyAlignment="1">
      <alignment horizontal="center" vertical="center" wrapText="1"/>
    </xf>
    <xf numFmtId="0" fontId="27" fillId="0" borderId="7" xfId="0" applyFont="1" applyBorder="1" applyAlignment="1">
      <alignment vertical="center" wrapText="1"/>
    </xf>
    <xf numFmtId="0" fontId="27" fillId="0" borderId="37" xfId="0" applyFont="1" applyBorder="1" applyAlignment="1">
      <alignment vertical="center"/>
    </xf>
    <xf numFmtId="2" fontId="27" fillId="0" borderId="26" xfId="0" applyNumberFormat="1" applyFont="1" applyBorder="1" applyAlignment="1">
      <alignment horizontal="center" vertical="center"/>
    </xf>
    <xf numFmtId="0" fontId="27" fillId="0" borderId="48" xfId="0" applyFont="1" applyBorder="1"/>
    <xf numFmtId="0" fontId="27" fillId="4" borderId="7" xfId="0" applyFont="1" applyFill="1" applyBorder="1" applyAlignment="1">
      <alignment vertical="center"/>
    </xf>
    <xf numFmtId="0" fontId="27" fillId="0" borderId="5" xfId="0" applyFont="1" applyBorder="1" applyAlignment="1">
      <alignment vertical="center"/>
    </xf>
    <xf numFmtId="0" fontId="29" fillId="0" borderId="43" xfId="0" applyFont="1" applyBorder="1"/>
    <xf numFmtId="0" fontId="27" fillId="0" borderId="10" xfId="0" applyFont="1" applyBorder="1" applyAlignment="1">
      <alignment horizontal="center"/>
    </xf>
    <xf numFmtId="0" fontId="29" fillId="4" borderId="27" xfId="0" applyFont="1" applyFill="1" applyBorder="1" applyAlignment="1">
      <alignment vertical="center"/>
    </xf>
    <xf numFmtId="0" fontId="29" fillId="4" borderId="27" xfId="0" applyFont="1" applyFill="1" applyBorder="1"/>
    <xf numFmtId="0" fontId="27" fillId="4" borderId="27" xfId="0" applyFont="1" applyFill="1" applyBorder="1" applyAlignment="1">
      <alignment horizontal="center"/>
    </xf>
    <xf numFmtId="0" fontId="27" fillId="23" borderId="27" xfId="0" applyFont="1" applyFill="1" applyBorder="1" applyAlignment="1">
      <alignment vertical="center"/>
    </xf>
    <xf numFmtId="0" fontId="29" fillId="23" borderId="27" xfId="0" applyFont="1" applyFill="1" applyBorder="1"/>
    <xf numFmtId="0" fontId="29" fillId="23" borderId="27" xfId="0" applyFont="1" applyFill="1" applyBorder="1" applyAlignment="1">
      <alignment horizontal="center" vertical="center"/>
    </xf>
    <xf numFmtId="0" fontId="27" fillId="27" borderId="27" xfId="0" applyFont="1" applyFill="1" applyBorder="1"/>
    <xf numFmtId="0" fontId="8" fillId="15" borderId="15" xfId="0" applyFont="1" applyFill="1" applyBorder="1"/>
    <xf numFmtId="0" fontId="8" fillId="15" borderId="0" xfId="0" applyFont="1" applyFill="1" applyAlignment="1">
      <alignment horizontal="center"/>
    </xf>
    <xf numFmtId="0" fontId="8" fillId="15" borderId="31" xfId="0" applyFont="1" applyFill="1" applyBorder="1" applyAlignment="1">
      <alignment horizontal="center" vertical="center" wrapText="1"/>
    </xf>
    <xf numFmtId="0" fontId="27" fillId="15" borderId="43" xfId="0" applyFont="1" applyFill="1" applyBorder="1"/>
    <xf numFmtId="0" fontId="27" fillId="15" borderId="10" xfId="0" applyFont="1" applyFill="1" applyBorder="1" applyAlignment="1">
      <alignment vertical="center" wrapText="1"/>
    </xf>
    <xf numFmtId="0" fontId="27" fillId="15" borderId="10" xfId="0" applyFont="1" applyFill="1" applyBorder="1"/>
    <xf numFmtId="0" fontId="29" fillId="15" borderId="43" xfId="0" applyFont="1" applyFill="1" applyBorder="1"/>
    <xf numFmtId="0" fontId="29" fillId="15" borderId="43" xfId="0" applyFont="1" applyFill="1" applyBorder="1" applyAlignment="1">
      <alignment horizontal="center" vertical="center"/>
    </xf>
    <xf numFmtId="0" fontId="27" fillId="15" borderId="10" xfId="0" applyFont="1" applyFill="1" applyBorder="1" applyAlignment="1">
      <alignment horizontal="center"/>
    </xf>
    <xf numFmtId="0" fontId="27" fillId="15" borderId="43" xfId="0" applyFont="1" applyFill="1" applyBorder="1" applyAlignment="1">
      <alignment horizontal="center"/>
    </xf>
    <xf numFmtId="0" fontId="27" fillId="15" borderId="42" xfId="0" applyFont="1" applyFill="1" applyBorder="1" applyAlignment="1">
      <alignment horizontal="center" vertical="center"/>
    </xf>
    <xf numFmtId="0" fontId="27" fillId="15" borderId="27" xfId="0" applyFont="1" applyFill="1" applyBorder="1" applyAlignment="1">
      <alignment horizontal="center" vertical="center"/>
    </xf>
    <xf numFmtId="0" fontId="27" fillId="15" borderId="7" xfId="0" applyFont="1" applyFill="1" applyBorder="1" applyAlignment="1">
      <alignment horizontal="center" wrapText="1"/>
    </xf>
    <xf numFmtId="0" fontId="8" fillId="4" borderId="15" xfId="0" applyFont="1" applyFill="1" applyBorder="1"/>
    <xf numFmtId="0" fontId="8" fillId="4" borderId="31" xfId="0" applyFont="1" applyFill="1" applyBorder="1" applyAlignment="1">
      <alignment horizontal="center" vertical="center" wrapText="1"/>
    </xf>
    <xf numFmtId="0" fontId="27" fillId="4" borderId="27" xfId="0" applyFont="1" applyFill="1" applyBorder="1" applyAlignment="1">
      <alignment vertical="center" wrapText="1"/>
    </xf>
    <xf numFmtId="0" fontId="29" fillId="4" borderId="27" xfId="0" applyFont="1" applyFill="1" applyBorder="1" applyAlignment="1">
      <alignment horizontal="center" vertical="center"/>
    </xf>
    <xf numFmtId="0" fontId="27" fillId="4" borderId="34" xfId="0" applyFont="1" applyFill="1" applyBorder="1" applyAlignment="1">
      <alignment horizontal="center"/>
    </xf>
    <xf numFmtId="0" fontId="27" fillId="4" borderId="7" xfId="0" applyFont="1" applyFill="1" applyBorder="1" applyAlignment="1">
      <alignment horizontal="center" vertical="center" wrapText="1"/>
    </xf>
    <xf numFmtId="0" fontId="8" fillId="4" borderId="15" xfId="0" applyFont="1" applyFill="1" applyBorder="1" applyAlignment="1">
      <alignment vertical="center"/>
    </xf>
    <xf numFmtId="0" fontId="27" fillId="4" borderId="27" xfId="0" applyFont="1" applyFill="1" applyBorder="1" applyAlignment="1">
      <alignment vertical="center"/>
    </xf>
    <xf numFmtId="0" fontId="27" fillId="4" borderId="34" xfId="0" applyFont="1" applyFill="1" applyBorder="1" applyAlignment="1">
      <alignment horizontal="center" vertical="center"/>
    </xf>
    <xf numFmtId="0" fontId="29" fillId="0" borderId="38" xfId="0" applyFont="1" applyBorder="1" applyAlignment="1">
      <alignment vertical="center"/>
    </xf>
    <xf numFmtId="0" fontId="29" fillId="0" borderId="38" xfId="0" applyFont="1" applyBorder="1" applyAlignment="1">
      <alignment vertical="center" wrapText="1"/>
    </xf>
    <xf numFmtId="0" fontId="8" fillId="27" borderId="15" xfId="0" applyFont="1" applyFill="1" applyBorder="1"/>
    <xf numFmtId="0" fontId="8" fillId="27" borderId="0" xfId="0" applyFont="1" applyFill="1" applyAlignment="1">
      <alignment horizontal="center"/>
    </xf>
    <xf numFmtId="0" fontId="8" fillId="27" borderId="31" xfId="0" applyFont="1" applyFill="1" applyBorder="1" applyAlignment="1">
      <alignment horizontal="center" vertical="center" wrapText="1"/>
    </xf>
    <xf numFmtId="0" fontId="10" fillId="27" borderId="27" xfId="0" applyFont="1" applyFill="1" applyBorder="1" applyAlignment="1">
      <alignment horizontal="center" vertical="center"/>
    </xf>
    <xf numFmtId="0" fontId="7" fillId="27" borderId="26" xfId="0" applyFont="1" applyFill="1" applyBorder="1"/>
    <xf numFmtId="0" fontId="7" fillId="27" borderId="7" xfId="0" applyFont="1" applyFill="1" applyBorder="1" applyAlignment="1">
      <alignment vertical="center"/>
    </xf>
    <xf numFmtId="0" fontId="7" fillId="27" borderId="7" xfId="0" applyFont="1" applyFill="1" applyBorder="1"/>
    <xf numFmtId="0" fontId="7" fillId="27" borderId="7" xfId="0" applyFont="1" applyFill="1" applyBorder="1" applyAlignment="1">
      <alignment horizontal="center"/>
    </xf>
    <xf numFmtId="0" fontId="7" fillId="27" borderId="26" xfId="0" applyFont="1" applyFill="1" applyBorder="1" applyAlignment="1">
      <alignment horizontal="center"/>
    </xf>
    <xf numFmtId="0" fontId="27" fillId="27" borderId="42" xfId="0" applyFont="1" applyFill="1" applyBorder="1" applyAlignment="1">
      <alignment horizontal="center" vertical="center"/>
    </xf>
    <xf numFmtId="0" fontId="27" fillId="27" borderId="34" xfId="0" applyFont="1" applyFill="1" applyBorder="1" applyAlignment="1">
      <alignment horizontal="center"/>
    </xf>
    <xf numFmtId="0" fontId="27" fillId="27" borderId="27" xfId="0" applyFont="1" applyFill="1" applyBorder="1" applyAlignment="1">
      <alignment horizontal="center"/>
    </xf>
    <xf numFmtId="0" fontId="27" fillId="27" borderId="7" xfId="0" applyFont="1" applyFill="1" applyBorder="1" applyAlignment="1">
      <alignment horizontal="center" wrapText="1"/>
    </xf>
    <xf numFmtId="0" fontId="42" fillId="0" borderId="26" xfId="0" applyFont="1" applyBorder="1" applyAlignment="1">
      <alignment vertical="center"/>
    </xf>
    <xf numFmtId="0" fontId="27" fillId="15" borderId="34" xfId="0" applyFont="1" applyFill="1" applyBorder="1" applyAlignment="1">
      <alignment horizontal="center" vertical="center"/>
    </xf>
    <xf numFmtId="0" fontId="27" fillId="0" borderId="35" xfId="0" applyFont="1" applyBorder="1" applyAlignment="1">
      <alignment horizontal="center" vertical="center"/>
    </xf>
    <xf numFmtId="0" fontId="27" fillId="0" borderId="10" xfId="0" applyFont="1" applyBorder="1" applyAlignment="1">
      <alignment horizontal="center" vertical="center" wrapText="1"/>
    </xf>
    <xf numFmtId="0" fontId="42" fillId="0" borderId="27" xfId="0" applyFont="1" applyBorder="1"/>
    <xf numFmtId="0" fontId="13" fillId="27" borderId="0" xfId="0" applyFont="1" applyFill="1" applyAlignment="1">
      <alignment vertical="center"/>
    </xf>
    <xf numFmtId="0" fontId="8" fillId="27" borderId="28" xfId="0" applyFont="1" applyFill="1" applyBorder="1" applyAlignment="1">
      <alignment horizontal="center" vertical="center"/>
    </xf>
    <xf numFmtId="0" fontId="29" fillId="27" borderId="38" xfId="0" applyFont="1" applyFill="1" applyBorder="1" applyAlignment="1">
      <alignment horizontal="center" vertical="center"/>
    </xf>
    <xf numFmtId="0" fontId="8" fillId="27" borderId="51" xfId="0" applyFont="1" applyFill="1" applyBorder="1" applyAlignment="1">
      <alignment horizontal="center" vertical="center"/>
    </xf>
    <xf numFmtId="0" fontId="27" fillId="27" borderId="36" xfId="0" applyFont="1" applyFill="1" applyBorder="1" applyAlignment="1">
      <alignment vertical="center" wrapText="1"/>
    </xf>
    <xf numFmtId="0" fontId="27" fillId="27" borderId="36" xfId="0" applyFont="1" applyFill="1" applyBorder="1" applyAlignment="1">
      <alignment horizontal="center" vertical="center"/>
    </xf>
    <xf numFmtId="0" fontId="27" fillId="27" borderId="38" xfId="0" applyFont="1" applyFill="1" applyBorder="1" applyAlignment="1">
      <alignment horizontal="center" vertical="center"/>
    </xf>
    <xf numFmtId="0" fontId="27" fillId="27" borderId="35" xfId="0" applyFont="1" applyFill="1" applyBorder="1" applyAlignment="1">
      <alignment horizontal="center" vertical="center"/>
    </xf>
    <xf numFmtId="0" fontId="27" fillId="27" borderId="10" xfId="0" applyFont="1" applyFill="1" applyBorder="1" applyAlignment="1">
      <alignment horizontal="center" vertical="center" wrapText="1"/>
    </xf>
    <xf numFmtId="0" fontId="8" fillId="21" borderId="56" xfId="0" applyFont="1" applyFill="1" applyBorder="1" applyAlignment="1">
      <alignment horizontal="center" vertical="center"/>
    </xf>
    <xf numFmtId="0" fontId="29" fillId="21" borderId="27" xfId="0" applyFont="1" applyFill="1" applyBorder="1" applyAlignment="1">
      <alignment vertical="center"/>
    </xf>
    <xf numFmtId="0" fontId="27" fillId="21" borderId="36" xfId="0" applyFont="1" applyFill="1" applyBorder="1"/>
    <xf numFmtId="0" fontId="29" fillId="21" borderId="27" xfId="0" applyFont="1" applyFill="1" applyBorder="1"/>
    <xf numFmtId="0" fontId="29" fillId="21" borderId="34" xfId="0" applyFont="1" applyFill="1" applyBorder="1"/>
    <xf numFmtId="0" fontId="27" fillId="21" borderId="34" xfId="0" applyFont="1" applyFill="1" applyBorder="1"/>
    <xf numFmtId="0" fontId="8" fillId="0" borderId="56" xfId="0" applyFont="1" applyBorder="1" applyAlignment="1">
      <alignment horizontal="center"/>
    </xf>
    <xf numFmtId="0" fontId="27" fillId="21" borderId="38" xfId="0" applyFont="1" applyFill="1" applyBorder="1"/>
    <xf numFmtId="0" fontId="29" fillId="21" borderId="38" xfId="0" applyFont="1" applyFill="1" applyBorder="1" applyAlignment="1">
      <alignment horizontal="center" vertical="center"/>
    </xf>
    <xf numFmtId="0" fontId="17" fillId="10" borderId="40" xfId="0" applyFont="1" applyFill="1" applyBorder="1" applyAlignment="1">
      <alignment horizontal="center" vertical="center" wrapText="1"/>
    </xf>
    <xf numFmtId="0" fontId="39" fillId="0" borderId="27" xfId="0" applyFont="1" applyBorder="1" applyAlignment="1">
      <alignment vertical="center" wrapText="1"/>
    </xf>
    <xf numFmtId="0" fontId="39" fillId="0" borderId="34" xfId="0" applyFont="1" applyBorder="1" applyAlignment="1">
      <alignment vertical="center" wrapText="1"/>
    </xf>
    <xf numFmtId="0" fontId="39" fillId="0" borderId="27" xfId="0" applyFont="1" applyBorder="1" applyAlignment="1">
      <alignment horizontal="center" vertical="center"/>
    </xf>
    <xf numFmtId="0" fontId="39" fillId="0" borderId="34" xfId="0" applyFont="1" applyBorder="1" applyAlignment="1">
      <alignment horizontal="center" vertical="center"/>
    </xf>
    <xf numFmtId="0" fontId="39" fillId="0" borderId="27" xfId="0" applyFont="1" applyBorder="1" applyAlignment="1">
      <alignment wrapText="1"/>
    </xf>
    <xf numFmtId="0" fontId="39" fillId="0" borderId="52" xfId="0" applyFont="1" applyBorder="1" applyAlignment="1">
      <alignment vertical="center" wrapText="1"/>
    </xf>
    <xf numFmtId="0" fontId="39" fillId="0" borderId="27" xfId="0" applyFont="1" applyBorder="1" applyAlignment="1">
      <alignment horizontal="right" vertical="center" wrapText="1"/>
    </xf>
    <xf numFmtId="0" fontId="39" fillId="0" borderId="0" xfId="0" applyFont="1" applyAlignment="1">
      <alignment vertical="center" wrapText="1"/>
    </xf>
    <xf numFmtId="0" fontId="13" fillId="0" borderId="27" xfId="0" applyFont="1" applyBorder="1" applyAlignment="1">
      <alignment wrapText="1"/>
    </xf>
    <xf numFmtId="0" fontId="13" fillId="0" borderId="9" xfId="0" applyFont="1" applyBorder="1" applyAlignment="1">
      <alignment wrapText="1"/>
    </xf>
    <xf numFmtId="3" fontId="13" fillId="0" borderId="2" xfId="0" applyNumberFormat="1" applyFont="1" applyBorder="1" applyAlignment="1">
      <alignment wrapText="1"/>
    </xf>
    <xf numFmtId="0" fontId="39" fillId="0" borderId="63" xfId="0" applyFont="1" applyBorder="1" applyAlignment="1">
      <alignment vertical="center" wrapText="1"/>
    </xf>
    <xf numFmtId="0" fontId="39" fillId="0" borderId="8" xfId="0" applyFont="1" applyBorder="1" applyAlignment="1">
      <alignment vertical="center" wrapText="1"/>
    </xf>
    <xf numFmtId="14" fontId="8" fillId="0" borderId="0" xfId="0" applyNumberFormat="1" applyFont="1" applyAlignment="1">
      <alignment horizontal="center" vertical="center"/>
    </xf>
    <xf numFmtId="0" fontId="8" fillId="15" borderId="27" xfId="0" applyFont="1" applyFill="1" applyBorder="1"/>
    <xf numFmtId="0" fontId="0" fillId="7" borderId="79" xfId="0" applyFill="1" applyBorder="1" applyAlignment="1">
      <alignment horizontal="center"/>
    </xf>
    <xf numFmtId="0" fontId="4" fillId="7" borderId="19" xfId="0" applyFont="1" applyFill="1" applyBorder="1" applyAlignment="1">
      <alignment vertical="center"/>
    </xf>
    <xf numFmtId="0" fontId="0" fillId="7" borderId="19" xfId="0" applyFill="1" applyBorder="1" applyAlignment="1">
      <alignment horizontal="center"/>
    </xf>
    <xf numFmtId="0" fontId="0" fillId="7" borderId="19" xfId="0" applyFill="1" applyBorder="1" applyAlignment="1">
      <alignment wrapText="1"/>
    </xf>
    <xf numFmtId="0" fontId="3" fillId="7" borderId="19" xfId="0" applyFont="1" applyFill="1" applyBorder="1" applyAlignment="1">
      <alignment horizontal="center" vertical="center"/>
    </xf>
    <xf numFmtId="0" fontId="44" fillId="7" borderId="19" xfId="0" applyFont="1" applyFill="1" applyBorder="1"/>
    <xf numFmtId="0" fontId="0" fillId="7" borderId="19" xfId="0" applyFill="1" applyBorder="1" applyAlignment="1">
      <alignment horizontal="center" vertical="center"/>
    </xf>
    <xf numFmtId="0" fontId="4" fillId="7" borderId="19" xfId="0" applyFont="1" applyFill="1" applyBorder="1" applyAlignment="1">
      <alignment vertical="center" wrapText="1"/>
    </xf>
    <xf numFmtId="0" fontId="14" fillId="7" borderId="19" xfId="0" applyFont="1" applyFill="1" applyBorder="1" applyAlignment="1">
      <alignment vertical="center" wrapText="1"/>
    </xf>
    <xf numFmtId="0" fontId="19" fillId="7" borderId="28" xfId="0" applyFont="1" applyFill="1" applyBorder="1" applyAlignment="1">
      <alignment horizontal="center" vertical="center" wrapText="1"/>
    </xf>
    <xf numFmtId="0" fontId="19" fillId="7" borderId="27" xfId="0" applyFont="1" applyFill="1" applyBorder="1" applyAlignment="1">
      <alignment horizontal="center" vertical="center" wrapText="1"/>
    </xf>
    <xf numFmtId="0" fontId="4" fillId="7" borderId="79" xfId="0" applyFont="1" applyFill="1" applyBorder="1" applyAlignment="1">
      <alignment vertical="center" wrapText="1"/>
    </xf>
    <xf numFmtId="0" fontId="0" fillId="7" borderId="27" xfId="0" applyFill="1" applyBorder="1" applyAlignment="1">
      <alignment horizontal="center" vertical="center"/>
    </xf>
    <xf numFmtId="0" fontId="0" fillId="7" borderId="27" xfId="0" applyFill="1" applyBorder="1" applyAlignment="1">
      <alignment horizontal="center"/>
    </xf>
    <xf numFmtId="0" fontId="0" fillId="7" borderId="20" xfId="0" applyFill="1" applyBorder="1"/>
    <xf numFmtId="0" fontId="0" fillId="7" borderId="27" xfId="0" applyFill="1" applyBorder="1"/>
    <xf numFmtId="0" fontId="0" fillId="7" borderId="27" xfId="0" applyFill="1" applyBorder="1" applyAlignment="1">
      <alignment wrapText="1"/>
    </xf>
    <xf numFmtId="0" fontId="8" fillId="0" borderId="51" xfId="0" applyFont="1" applyBorder="1" applyAlignment="1">
      <alignment vertical="center"/>
    </xf>
    <xf numFmtId="0" fontId="0" fillId="0" borderId="90" xfId="0" applyBorder="1" applyAlignment="1">
      <alignment horizontal="center" vertical="center"/>
    </xf>
    <xf numFmtId="0" fontId="3" fillId="0" borderId="50" xfId="0" applyFont="1" applyBorder="1" applyAlignment="1">
      <alignment horizontal="left" wrapText="1"/>
    </xf>
    <xf numFmtId="0" fontId="0" fillId="0" borderId="87" xfId="0" applyBorder="1" applyAlignment="1">
      <alignment horizontal="center" vertical="center"/>
    </xf>
    <xf numFmtId="0" fontId="8" fillId="0" borderId="42" xfId="0" applyFont="1" applyBorder="1" applyAlignment="1">
      <alignment wrapText="1"/>
    </xf>
    <xf numFmtId="0" fontId="60" fillId="0" borderId="27" xfId="0" applyFont="1" applyBorder="1" applyAlignment="1">
      <alignment horizontal="center" wrapText="1"/>
    </xf>
    <xf numFmtId="0" fontId="19" fillId="0" borderId="50" xfId="0" applyFont="1" applyBorder="1" applyAlignment="1">
      <alignment horizontal="center" vertical="center" wrapText="1"/>
    </xf>
    <xf numFmtId="0" fontId="3" fillId="0" borderId="51" xfId="0" applyFont="1" applyBorder="1" applyAlignment="1">
      <alignment horizontal="left" wrapText="1"/>
    </xf>
    <xf numFmtId="0" fontId="19" fillId="0" borderId="36" xfId="0" applyFont="1" applyBorder="1" applyAlignment="1">
      <alignment vertical="center" wrapText="1"/>
    </xf>
    <xf numFmtId="0" fontId="8" fillId="0" borderId="36" xfId="0" applyFont="1" applyBorder="1" applyAlignment="1">
      <alignment vertical="center" wrapText="1"/>
    </xf>
    <xf numFmtId="0" fontId="0" fillId="11" borderId="42" xfId="0" applyFill="1" applyBorder="1" applyAlignment="1">
      <alignment horizontal="center" vertical="center"/>
    </xf>
    <xf numFmtId="0" fontId="64" fillId="0" borderId="0" xfId="0" applyFont="1" applyAlignment="1">
      <alignment horizontal="left" vertical="center"/>
    </xf>
    <xf numFmtId="0" fontId="36" fillId="0" borderId="34" xfId="0" applyFont="1" applyBorder="1" applyAlignment="1">
      <alignment vertical="center" wrapText="1"/>
    </xf>
    <xf numFmtId="0" fontId="36" fillId="11" borderId="9" xfId="0" applyFont="1" applyFill="1" applyBorder="1" applyAlignment="1">
      <alignment vertical="center" wrapText="1"/>
    </xf>
    <xf numFmtId="0" fontId="36" fillId="11" borderId="2" xfId="0" applyFont="1" applyFill="1" applyBorder="1" applyAlignment="1">
      <alignment vertical="center" wrapText="1"/>
    </xf>
    <xf numFmtId="0" fontId="39" fillId="0" borderId="35" xfId="0" applyFont="1" applyBorder="1" applyAlignment="1">
      <alignment wrapText="1"/>
    </xf>
    <xf numFmtId="0" fontId="0" fillId="0" borderId="49" xfId="0" applyBorder="1" applyAlignment="1">
      <alignment horizontal="center" vertical="center"/>
    </xf>
    <xf numFmtId="0" fontId="37" fillId="0" borderId="27" xfId="0" applyFont="1" applyBorder="1" applyAlignment="1">
      <alignment vertical="center"/>
    </xf>
    <xf numFmtId="0" fontId="0" fillId="11" borderId="0" xfId="0" applyFill="1" applyAlignment="1">
      <alignment horizontal="center" vertical="center"/>
    </xf>
    <xf numFmtId="0" fontId="0" fillId="0" borderId="29" xfId="0" applyBorder="1" applyAlignment="1">
      <alignment vertical="center"/>
    </xf>
    <xf numFmtId="0" fontId="0" fillId="0" borderId="96" xfId="0" applyBorder="1" applyAlignment="1">
      <alignment vertical="center"/>
    </xf>
    <xf numFmtId="0" fontId="8" fillId="0" borderId="51" xfId="0" applyFont="1" applyBorder="1"/>
    <xf numFmtId="0" fontId="8" fillId="4" borderId="38" xfId="0" applyFont="1" applyFill="1" applyBorder="1" applyAlignment="1">
      <alignment vertical="center" wrapText="1"/>
    </xf>
    <xf numFmtId="0" fontId="9" fillId="4" borderId="38" xfId="0" applyFont="1" applyFill="1" applyBorder="1"/>
    <xf numFmtId="0" fontId="9" fillId="4" borderId="38" xfId="0" applyFont="1" applyFill="1" applyBorder="1" applyAlignment="1">
      <alignment horizontal="center" vertical="center"/>
    </xf>
    <xf numFmtId="0" fontId="8" fillId="4" borderId="29" xfId="0" applyFont="1" applyFill="1" applyBorder="1"/>
    <xf numFmtId="0" fontId="8" fillId="4" borderId="38" xfId="0" applyFont="1" applyFill="1" applyBorder="1" applyAlignment="1">
      <alignment horizontal="center"/>
    </xf>
    <xf numFmtId="0" fontId="23" fillId="0" borderId="36" xfId="1" applyBorder="1" applyAlignment="1">
      <alignment wrapText="1"/>
    </xf>
    <xf numFmtId="0" fontId="9" fillId="4" borderId="27" xfId="0" applyFont="1" applyFill="1" applyBorder="1" applyAlignment="1">
      <alignment vertical="center" wrapText="1"/>
    </xf>
    <xf numFmtId="0" fontId="70" fillId="0" borderId="27" xfId="0" applyFont="1" applyBorder="1" applyAlignment="1">
      <alignment vertical="center" wrapText="1"/>
    </xf>
    <xf numFmtId="0" fontId="0" fillId="0" borderId="50" xfId="0" applyBorder="1" applyAlignment="1">
      <alignment horizontal="center" vertical="center"/>
    </xf>
    <xf numFmtId="0" fontId="26" fillId="0" borderId="27" xfId="0" applyFont="1" applyBorder="1" applyAlignment="1">
      <alignment vertical="center" wrapText="1"/>
    </xf>
    <xf numFmtId="0" fontId="3" fillId="15" borderId="27" xfId="0" applyFont="1" applyFill="1" applyBorder="1" applyAlignment="1">
      <alignment wrapText="1"/>
    </xf>
    <xf numFmtId="0" fontId="0" fillId="0" borderId="56" xfId="0" applyBorder="1" applyAlignment="1">
      <alignment vertical="center"/>
    </xf>
    <xf numFmtId="0" fontId="0" fillId="0" borderId="101" xfId="0" applyBorder="1" applyAlignment="1">
      <alignment wrapText="1"/>
    </xf>
    <xf numFmtId="0" fontId="40" fillId="0" borderId="101" xfId="0" applyFont="1" applyBorder="1" applyAlignment="1">
      <alignment vertical="center" wrapText="1"/>
    </xf>
    <xf numFmtId="0" fontId="0" fillId="0" borderId="113" xfId="0" applyBorder="1" applyAlignment="1">
      <alignment wrapText="1"/>
    </xf>
    <xf numFmtId="0" fontId="0" fillId="0" borderId="82" xfId="0" applyBorder="1" applyAlignment="1">
      <alignment vertical="center"/>
    </xf>
    <xf numFmtId="0" fontId="0" fillId="12" borderId="42" xfId="0" applyFill="1" applyBorder="1" applyAlignment="1">
      <alignment horizontal="center" vertical="center"/>
    </xf>
    <xf numFmtId="0" fontId="51" fillId="28" borderId="0" xfId="0" applyFont="1" applyFill="1" applyAlignment="1">
      <alignment horizontal="left" vertical="center"/>
    </xf>
    <xf numFmtId="0" fontId="51" fillId="28" borderId="36" xfId="0" applyFont="1" applyFill="1" applyBorder="1" applyAlignment="1">
      <alignment horizontal="center" vertical="center"/>
    </xf>
    <xf numFmtId="0" fontId="51" fillId="28" borderId="51" xfId="0" applyFont="1" applyFill="1" applyBorder="1" applyAlignment="1">
      <alignment horizontal="left" vertical="center" wrapText="1"/>
    </xf>
    <xf numFmtId="0" fontId="51" fillId="28" borderId="36" xfId="0" applyFont="1" applyFill="1" applyBorder="1" applyAlignment="1">
      <alignment horizontal="left" vertical="center" wrapText="1"/>
    </xf>
    <xf numFmtId="0" fontId="51" fillId="28" borderId="27" xfId="0" applyFont="1" applyFill="1" applyBorder="1" applyAlignment="1">
      <alignment horizontal="left" vertical="center"/>
    </xf>
    <xf numFmtId="0" fontId="51" fillId="28" borderId="34" xfId="0" applyFont="1" applyFill="1" applyBorder="1" applyAlignment="1">
      <alignment horizontal="left" vertical="center"/>
    </xf>
    <xf numFmtId="0" fontId="51" fillId="28" borderId="26" xfId="0" applyFont="1" applyFill="1" applyBorder="1" applyAlignment="1">
      <alignment horizontal="center" vertical="center"/>
    </xf>
    <xf numFmtId="0" fontId="51" fillId="28" borderId="28" xfId="0" applyFont="1" applyFill="1" applyBorder="1" applyAlignment="1">
      <alignment horizontal="left" vertical="center"/>
    </xf>
    <xf numFmtId="0" fontId="51" fillId="28" borderId="27" xfId="0" applyFont="1" applyFill="1" applyBorder="1" applyAlignment="1">
      <alignment horizontal="center" vertical="center"/>
    </xf>
    <xf numFmtId="0" fontId="51" fillId="28" borderId="26" xfId="0" applyFont="1" applyFill="1" applyBorder="1" applyAlignment="1">
      <alignment horizontal="left" vertical="center" wrapText="1"/>
    </xf>
    <xf numFmtId="0" fontId="51" fillId="28" borderId="42" xfId="0" applyFont="1" applyFill="1" applyBorder="1" applyAlignment="1">
      <alignment horizontal="center" vertical="center"/>
    </xf>
    <xf numFmtId="0" fontId="51" fillId="28" borderId="34" xfId="0" applyFont="1" applyFill="1" applyBorder="1" applyAlignment="1">
      <alignment horizontal="center" vertical="center"/>
    </xf>
    <xf numFmtId="0" fontId="51" fillId="28" borderId="44" xfId="0" applyFont="1" applyFill="1" applyBorder="1"/>
    <xf numFmtId="0" fontId="51" fillId="28" borderId="0" xfId="0" applyFont="1" applyFill="1"/>
    <xf numFmtId="0" fontId="51" fillId="28" borderId="7" xfId="0" applyFont="1" applyFill="1" applyBorder="1" applyAlignment="1">
      <alignment horizontal="center" vertical="center" wrapText="1"/>
    </xf>
    <xf numFmtId="0" fontId="40" fillId="28" borderId="0" xfId="0" applyFont="1" applyFill="1" applyAlignment="1">
      <alignment horizontal="left" vertical="center"/>
    </xf>
    <xf numFmtId="0" fontId="68" fillId="28" borderId="2" xfId="0" applyFont="1" applyFill="1" applyBorder="1" applyAlignment="1">
      <alignment vertical="center" wrapText="1"/>
    </xf>
    <xf numFmtId="0" fontId="3" fillId="0" borderId="51" xfId="0" applyFont="1" applyBorder="1" applyAlignment="1">
      <alignment vertical="center" wrapText="1"/>
    </xf>
    <xf numFmtId="0" fontId="72" fillId="0" borderId="0" xfId="0" applyFont="1"/>
    <xf numFmtId="14" fontId="0" fillId="0" borderId="0" xfId="0" applyNumberFormat="1"/>
    <xf numFmtId="14" fontId="0" fillId="15" borderId="0" xfId="0" applyNumberFormat="1" applyFill="1" applyAlignment="1">
      <alignment horizontal="center" vertical="center"/>
    </xf>
    <xf numFmtId="0" fontId="10" fillId="0" borderId="27" xfId="0" applyFont="1" applyBorder="1"/>
    <xf numFmtId="0" fontId="10" fillId="0" borderId="48" xfId="0" applyFont="1" applyBorder="1"/>
    <xf numFmtId="0" fontId="10" fillId="0" borderId="36" xfId="0" applyFont="1" applyBorder="1"/>
    <xf numFmtId="0" fontId="0" fillId="0" borderId="49" xfId="0" applyBorder="1"/>
    <xf numFmtId="0" fontId="16" fillId="0" borderId="28" xfId="0" applyFont="1" applyBorder="1" applyAlignment="1">
      <alignment vertical="center"/>
    </xf>
    <xf numFmtId="0" fontId="19" fillId="11" borderId="8" xfId="0" applyFont="1" applyFill="1" applyBorder="1" applyAlignment="1">
      <alignment horizontal="center" vertical="center" wrapText="1"/>
    </xf>
    <xf numFmtId="0" fontId="3" fillId="0" borderId="32" xfId="0" applyFont="1" applyBorder="1" applyAlignment="1">
      <alignment vertical="center" wrapText="1"/>
    </xf>
    <xf numFmtId="0" fontId="60" fillId="0" borderId="28" xfId="0" applyFont="1" applyBorder="1" applyAlignment="1">
      <alignment horizontal="center" wrapText="1"/>
    </xf>
    <xf numFmtId="0" fontId="19" fillId="0" borderId="27" xfId="0" applyFont="1" applyBorder="1" applyAlignment="1">
      <alignment horizontal="left" wrapText="1"/>
    </xf>
    <xf numFmtId="3" fontId="0" fillId="0" borderId="27" xfId="0" applyNumberFormat="1" applyBorder="1"/>
    <xf numFmtId="0" fontId="19" fillId="0" borderId="28" xfId="0" applyFont="1" applyBorder="1" applyAlignment="1">
      <alignment horizontal="left" vertical="center" wrapText="1"/>
    </xf>
    <xf numFmtId="0" fontId="60" fillId="0" borderId="34" xfId="0" applyFont="1" applyBorder="1" applyAlignment="1">
      <alignment horizontal="center" wrapText="1"/>
    </xf>
    <xf numFmtId="0" fontId="19" fillId="0" borderId="49" xfId="0" applyFont="1" applyBorder="1" applyAlignment="1">
      <alignment horizontal="left" wrapText="1"/>
    </xf>
    <xf numFmtId="0" fontId="67" fillId="0" borderId="36" xfId="0" applyFont="1" applyBorder="1" applyAlignment="1">
      <alignment wrapText="1"/>
    </xf>
    <xf numFmtId="0" fontId="8" fillId="0" borderId="38" xfId="0" applyFont="1" applyBorder="1" applyAlignment="1">
      <alignment vertical="center" wrapText="1"/>
    </xf>
    <xf numFmtId="0" fontId="0" fillId="0" borderId="44" xfId="0" applyBorder="1" applyAlignment="1">
      <alignment vertical="center"/>
    </xf>
    <xf numFmtId="0" fontId="0" fillId="11" borderId="26" xfId="0" applyFill="1" applyBorder="1" applyAlignment="1">
      <alignment horizontal="center" vertical="center"/>
    </xf>
    <xf numFmtId="0" fontId="15" fillId="0" borderId="37" xfId="0" applyFont="1" applyBorder="1" applyAlignment="1">
      <alignment vertical="center" wrapText="1"/>
    </xf>
    <xf numFmtId="0" fontId="15" fillId="11" borderId="26" xfId="0" applyFont="1" applyFill="1" applyBorder="1" applyAlignment="1">
      <alignment vertical="center" wrapText="1"/>
    </xf>
    <xf numFmtId="0" fontId="15" fillId="11" borderId="7" xfId="0" applyFont="1" applyFill="1" applyBorder="1" applyAlignment="1">
      <alignment vertical="center" wrapText="1"/>
    </xf>
    <xf numFmtId="0" fontId="3" fillId="11" borderId="115" xfId="0" applyFont="1" applyFill="1" applyBorder="1" applyAlignment="1">
      <alignment vertical="center" wrapText="1"/>
    </xf>
    <xf numFmtId="0" fontId="19" fillId="11" borderId="26" xfId="0" applyFont="1" applyFill="1" applyBorder="1" applyAlignment="1">
      <alignment horizontal="center" vertical="center" wrapText="1"/>
    </xf>
    <xf numFmtId="0" fontId="19" fillId="11" borderId="7" xfId="0" applyFont="1" applyFill="1" applyBorder="1" applyAlignment="1">
      <alignment horizontal="center" vertical="center" wrapText="1"/>
    </xf>
    <xf numFmtId="0" fontId="3" fillId="11" borderId="48" xfId="0" applyFont="1" applyFill="1" applyBorder="1" applyAlignment="1">
      <alignment vertical="center" wrapText="1"/>
    </xf>
    <xf numFmtId="0" fontId="0" fillId="11" borderId="38" xfId="0" applyFill="1" applyBorder="1" applyAlignment="1">
      <alignment horizontal="center" vertical="center" wrapText="1"/>
    </xf>
    <xf numFmtId="0" fontId="0" fillId="9" borderId="38" xfId="0" applyFill="1" applyBorder="1" applyAlignment="1">
      <alignment horizontal="center" vertical="center" wrapText="1"/>
    </xf>
    <xf numFmtId="0" fontId="0" fillId="11" borderId="37" xfId="0" applyFill="1" applyBorder="1" applyAlignment="1">
      <alignment vertical="center"/>
    </xf>
    <xf numFmtId="0" fontId="0" fillId="0" borderId="35" xfId="0" applyBorder="1" applyAlignment="1">
      <alignment horizontal="center" vertical="center"/>
    </xf>
    <xf numFmtId="0" fontId="37" fillId="0" borderId="36" xfId="0" applyFont="1" applyBorder="1" applyAlignment="1">
      <alignment vertical="center"/>
    </xf>
    <xf numFmtId="0" fontId="3" fillId="0" borderId="63" xfId="0" applyFont="1" applyBorder="1" applyAlignment="1">
      <alignment vertical="center" wrapText="1"/>
    </xf>
    <xf numFmtId="0" fontId="0" fillId="0" borderId="49" xfId="0" applyBorder="1" applyAlignment="1">
      <alignment vertical="center"/>
    </xf>
    <xf numFmtId="0" fontId="15" fillId="0" borderId="27" xfId="0" applyFont="1" applyBorder="1" applyAlignment="1">
      <alignment vertical="center" wrapText="1"/>
    </xf>
    <xf numFmtId="0" fontId="18" fillId="0" borderId="27" xfId="0" applyFont="1" applyBorder="1" applyAlignment="1">
      <alignment vertical="center" wrapText="1"/>
    </xf>
    <xf numFmtId="0" fontId="3" fillId="0" borderId="49" xfId="0" applyFont="1" applyBorder="1" applyAlignment="1">
      <alignment wrapText="1"/>
    </xf>
    <xf numFmtId="0" fontId="0" fillId="11" borderId="49" xfId="0" applyFill="1" applyBorder="1" applyAlignment="1">
      <alignment horizontal="center" vertical="center"/>
    </xf>
    <xf numFmtId="0" fontId="0" fillId="0" borderId="113" xfId="0" applyBorder="1"/>
    <xf numFmtId="0" fontId="16" fillId="0" borderId="101" xfId="0" applyFont="1" applyBorder="1" applyAlignment="1">
      <alignment vertical="center"/>
    </xf>
    <xf numFmtId="0" fontId="55" fillId="4" borderId="31" xfId="0" applyFont="1" applyFill="1" applyBorder="1" applyAlignment="1">
      <alignment horizontal="center" vertical="center" wrapText="1"/>
    </xf>
    <xf numFmtId="0" fontId="56" fillId="4" borderId="36" xfId="0" applyFont="1" applyFill="1" applyBorder="1" applyAlignment="1">
      <alignment horizontal="center" vertical="center"/>
    </xf>
    <xf numFmtId="0" fontId="56" fillId="4" borderId="39" xfId="0" applyFont="1" applyFill="1" applyBorder="1" applyAlignment="1">
      <alignment horizontal="center" vertical="center"/>
    </xf>
    <xf numFmtId="0" fontId="56" fillId="4" borderId="38" xfId="0" applyFont="1" applyFill="1" applyBorder="1" applyAlignment="1">
      <alignment horizontal="center" vertical="center"/>
    </xf>
    <xf numFmtId="0" fontId="46" fillId="0" borderId="99" xfId="0" applyFont="1" applyBorder="1" applyAlignment="1">
      <alignment horizontal="center" vertical="center"/>
    </xf>
    <xf numFmtId="0" fontId="46" fillId="0" borderId="87" xfId="0" applyFont="1" applyBorder="1" applyAlignment="1">
      <alignment horizontal="center" vertical="center"/>
    </xf>
    <xf numFmtId="0" fontId="49" fillId="0" borderId="27" xfId="0" applyFont="1" applyBorder="1" applyAlignment="1">
      <alignment horizontal="center" vertical="center" wrapText="1"/>
    </xf>
    <xf numFmtId="0" fontId="49" fillId="0" borderId="36" xfId="0" applyFont="1" applyBorder="1" applyAlignment="1">
      <alignment horizontal="center" vertical="center" wrapText="1"/>
    </xf>
    <xf numFmtId="0" fontId="49" fillId="0" borderId="13" xfId="0" applyFont="1" applyBorder="1" applyAlignment="1">
      <alignment horizontal="center" vertical="center" wrapText="1"/>
    </xf>
    <xf numFmtId="0" fontId="49" fillId="0" borderId="10" xfId="0" applyFont="1" applyBorder="1" applyAlignment="1">
      <alignment horizontal="center" vertical="center" wrapText="1"/>
    </xf>
    <xf numFmtId="0" fontId="0" fillId="15" borderId="9" xfId="0" applyFill="1" applyBorder="1" applyAlignment="1">
      <alignment horizontal="center" vertical="center"/>
    </xf>
    <xf numFmtId="0" fontId="15" fillId="15" borderId="34" xfId="0" applyFont="1" applyFill="1" applyBorder="1" applyAlignment="1">
      <alignment vertical="center" wrapText="1"/>
    </xf>
    <xf numFmtId="0" fontId="15" fillId="15" borderId="9" xfId="0" applyFont="1" applyFill="1" applyBorder="1" applyAlignment="1">
      <alignment vertical="center" wrapText="1"/>
    </xf>
    <xf numFmtId="0" fontId="15" fillId="15" borderId="2" xfId="0" applyFont="1" applyFill="1" applyBorder="1" applyAlignment="1">
      <alignment vertical="center" wrapText="1"/>
    </xf>
    <xf numFmtId="0" fontId="3" fillId="15" borderId="16" xfId="0" applyFont="1" applyFill="1" applyBorder="1" applyAlignment="1">
      <alignment vertical="center" wrapText="1"/>
    </xf>
    <xf numFmtId="0" fontId="19" fillId="15" borderId="9"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3" fillId="15" borderId="2" xfId="0" applyFont="1" applyFill="1" applyBorder="1" applyAlignment="1">
      <alignment vertical="center" wrapText="1"/>
    </xf>
    <xf numFmtId="0" fontId="3" fillId="15" borderId="8" xfId="0" applyFont="1" applyFill="1" applyBorder="1" applyAlignment="1">
      <alignment vertical="center" wrapText="1"/>
    </xf>
    <xf numFmtId="0" fontId="0" fillId="15" borderId="52" xfId="0" applyFill="1" applyBorder="1" applyAlignment="1">
      <alignment horizontal="center" vertical="center"/>
    </xf>
    <xf numFmtId="0" fontId="0" fillId="15" borderId="27" xfId="0" applyFill="1" applyBorder="1" applyAlignment="1">
      <alignment horizontal="center" vertical="center"/>
    </xf>
    <xf numFmtId="0" fontId="0" fillId="15" borderId="28" xfId="0" applyFill="1" applyBorder="1" applyAlignment="1">
      <alignment horizontal="center" vertical="center"/>
    </xf>
    <xf numFmtId="0" fontId="0" fillId="15" borderId="27" xfId="0" applyFill="1" applyBorder="1" applyAlignment="1">
      <alignment horizontal="center" vertical="center" wrapText="1"/>
    </xf>
    <xf numFmtId="0" fontId="0" fillId="15" borderId="34" xfId="0" applyFill="1" applyBorder="1" applyAlignment="1">
      <alignment vertical="center"/>
    </xf>
    <xf numFmtId="0" fontId="0" fillId="15" borderId="87" xfId="0" applyFill="1" applyBorder="1"/>
    <xf numFmtId="0" fontId="64" fillId="15" borderId="2" xfId="0" applyFont="1" applyFill="1" applyBorder="1" applyAlignment="1">
      <alignment horizontal="left" vertical="center"/>
    </xf>
    <xf numFmtId="0" fontId="0" fillId="15" borderId="101" xfId="0" applyFill="1" applyBorder="1"/>
    <xf numFmtId="0" fontId="49" fillId="15" borderId="27" xfId="0" applyFont="1" applyFill="1" applyBorder="1" applyAlignment="1">
      <alignment horizontal="center" vertical="center" wrapText="1"/>
    </xf>
    <xf numFmtId="0" fontId="74" fillId="36" borderId="2" xfId="0" applyFont="1" applyFill="1" applyBorder="1" applyAlignment="1">
      <alignment wrapText="1"/>
    </xf>
    <xf numFmtId="0" fontId="75" fillId="36" borderId="9" xfId="0" applyFont="1" applyFill="1" applyBorder="1" applyAlignment="1">
      <alignment wrapText="1"/>
    </xf>
    <xf numFmtId="0" fontId="74" fillId="36" borderId="9" xfId="0" applyFont="1" applyFill="1" applyBorder="1" applyAlignment="1">
      <alignment wrapText="1"/>
    </xf>
    <xf numFmtId="0" fontId="74" fillId="36" borderId="10" xfId="0" applyFont="1" applyFill="1" applyBorder="1" applyAlignment="1">
      <alignment wrapText="1"/>
    </xf>
    <xf numFmtId="0" fontId="76" fillId="0" borderId="7" xfId="0" applyFont="1" applyBorder="1" applyAlignment="1">
      <alignment wrapText="1"/>
    </xf>
    <xf numFmtId="0" fontId="77" fillId="0" borderId="26" xfId="0" applyFont="1" applyBorder="1" applyAlignment="1">
      <alignment wrapText="1"/>
    </xf>
    <xf numFmtId="0" fontId="76" fillId="0" borderId="26" xfId="0" applyFont="1" applyBorder="1" applyAlignment="1">
      <alignment wrapText="1"/>
    </xf>
    <xf numFmtId="0" fontId="76" fillId="37" borderId="26" xfId="0" applyFont="1" applyFill="1" applyBorder="1" applyAlignment="1">
      <alignment wrapText="1"/>
    </xf>
    <xf numFmtId="15" fontId="76" fillId="0" borderId="26" xfId="0" applyNumberFormat="1" applyFont="1" applyBorder="1" applyAlignment="1">
      <alignment wrapText="1"/>
    </xf>
    <xf numFmtId="3" fontId="76" fillId="0" borderId="26" xfId="0" applyNumberFormat="1" applyFont="1" applyBorder="1" applyAlignment="1">
      <alignment wrapText="1"/>
    </xf>
    <xf numFmtId="15" fontId="78" fillId="0" borderId="26" xfId="0" applyNumberFormat="1" applyFont="1" applyBorder="1" applyAlignment="1">
      <alignment wrapText="1"/>
    </xf>
    <xf numFmtId="15" fontId="79" fillId="0" borderId="26" xfId="0" applyNumberFormat="1" applyFont="1" applyBorder="1" applyAlignment="1">
      <alignment wrapText="1"/>
    </xf>
    <xf numFmtId="0" fontId="76" fillId="0" borderId="7" xfId="0" applyFont="1" applyBorder="1"/>
    <xf numFmtId="0" fontId="76" fillId="37" borderId="26" xfId="0" applyFont="1" applyFill="1" applyBorder="1"/>
    <xf numFmtId="0" fontId="80" fillId="0" borderId="26" xfId="0" applyFont="1" applyBorder="1" applyAlignment="1">
      <alignment wrapText="1"/>
    </xf>
    <xf numFmtId="0" fontId="76" fillId="16" borderId="26" xfId="0" applyFont="1" applyFill="1" applyBorder="1" applyAlignment="1">
      <alignment wrapText="1"/>
    </xf>
    <xf numFmtId="0" fontId="8" fillId="16" borderId="26" xfId="0" applyFont="1" applyFill="1" applyBorder="1"/>
    <xf numFmtId="0" fontId="76" fillId="38" borderId="26" xfId="0" applyFont="1" applyFill="1" applyBorder="1" applyAlignment="1">
      <alignment wrapText="1"/>
    </xf>
    <xf numFmtId="0" fontId="8" fillId="38" borderId="26" xfId="0" applyFont="1" applyFill="1" applyBorder="1"/>
    <xf numFmtId="0" fontId="83" fillId="0" borderId="26" xfId="0" applyFont="1" applyBorder="1" applyAlignment="1">
      <alignment wrapText="1"/>
    </xf>
    <xf numFmtId="0" fontId="73" fillId="0" borderId="27" xfId="0" applyFont="1" applyBorder="1"/>
    <xf numFmtId="0" fontId="70" fillId="0" borderId="7" xfId="0" applyFont="1" applyBorder="1" applyAlignment="1">
      <alignment vertical="center"/>
    </xf>
    <xf numFmtId="0" fontId="9" fillId="0" borderId="34" xfId="0" applyFont="1" applyBorder="1" applyAlignment="1">
      <alignment vertical="center"/>
    </xf>
    <xf numFmtId="0" fontId="8" fillId="0" borderId="35" xfId="0" applyFont="1" applyBorder="1" applyAlignment="1">
      <alignment vertical="center"/>
    </xf>
    <xf numFmtId="0" fontId="70" fillId="0" borderId="27" xfId="0" applyFont="1" applyBorder="1" applyAlignment="1">
      <alignment vertical="center"/>
    </xf>
    <xf numFmtId="0" fontId="76" fillId="39" borderId="27" xfId="0" applyFont="1" applyFill="1" applyBorder="1" applyAlignment="1">
      <alignment wrapText="1"/>
    </xf>
    <xf numFmtId="0" fontId="8" fillId="39" borderId="27" xfId="0" quotePrefix="1" applyFont="1" applyFill="1" applyBorder="1"/>
    <xf numFmtId="0" fontId="10" fillId="39" borderId="27" xfId="0" applyFont="1" applyFill="1" applyBorder="1"/>
    <xf numFmtId="0" fontId="84" fillId="16" borderId="26" xfId="0" applyFont="1" applyFill="1" applyBorder="1" applyAlignment="1">
      <alignment wrapText="1"/>
    </xf>
    <xf numFmtId="0" fontId="0" fillId="4" borderId="27" xfId="0" applyFill="1" applyBorder="1" applyAlignment="1">
      <alignment vertical="center"/>
    </xf>
    <xf numFmtId="0" fontId="0" fillId="4" borderId="27" xfId="0" applyFill="1" applyBorder="1"/>
    <xf numFmtId="0" fontId="2" fillId="3" borderId="27" xfId="0" applyFont="1" applyFill="1" applyBorder="1" applyAlignment="1">
      <alignment horizontal="center"/>
    </xf>
    <xf numFmtId="0" fontId="72" fillId="0" borderId="27" xfId="0" applyFont="1" applyBorder="1"/>
    <xf numFmtId="0" fontId="23" fillId="0" borderId="36" xfId="1" applyBorder="1" applyAlignment="1">
      <alignment horizontal="left" vertical="center" wrapText="1"/>
    </xf>
    <xf numFmtId="0" fontId="0" fillId="0" borderId="9" xfId="0" applyBorder="1" applyAlignment="1">
      <alignment horizontal="center" vertical="center"/>
    </xf>
    <xf numFmtId="0" fontId="15" fillId="0" borderId="9" xfId="0" applyFont="1" applyBorder="1" applyAlignment="1">
      <alignment vertical="center" wrapText="1"/>
    </xf>
    <xf numFmtId="0" fontId="15" fillId="0" borderId="2" xfId="0" applyFont="1" applyBorder="1" applyAlignment="1">
      <alignment vertical="center" wrapText="1"/>
    </xf>
    <xf numFmtId="0" fontId="3" fillId="0" borderId="16" xfId="0" applyFont="1" applyBorder="1" applyAlignment="1">
      <alignment vertical="center" wrapText="1"/>
    </xf>
    <xf numFmtId="0" fontId="19" fillId="0" borderId="9" xfId="0" applyFont="1" applyBorder="1" applyAlignment="1">
      <alignment horizontal="center" vertical="center" wrapText="1"/>
    </xf>
    <xf numFmtId="0" fontId="85" fillId="0" borderId="0" xfId="0" applyFont="1"/>
    <xf numFmtId="0" fontId="3" fillId="0" borderId="30" xfId="0" applyFont="1" applyBorder="1" applyAlignment="1">
      <alignment vertical="center" wrapText="1"/>
    </xf>
    <xf numFmtId="0" fontId="8" fillId="0" borderId="28" xfId="0" applyFont="1" applyBorder="1" applyAlignment="1">
      <alignment wrapText="1"/>
    </xf>
    <xf numFmtId="0" fontId="15" fillId="4" borderId="6" xfId="0" applyFont="1" applyFill="1" applyBorder="1" applyAlignment="1">
      <alignment vertical="center" wrapText="1"/>
    </xf>
    <xf numFmtId="0" fontId="3" fillId="4" borderId="6" xfId="0" applyFont="1" applyFill="1" applyBorder="1" applyAlignment="1">
      <alignment vertical="center" wrapText="1"/>
    </xf>
    <xf numFmtId="0" fontId="3" fillId="27" borderId="6" xfId="0" applyFont="1" applyFill="1" applyBorder="1" applyAlignment="1">
      <alignment vertical="center" wrapText="1"/>
    </xf>
    <xf numFmtId="0" fontId="66" fillId="4" borderId="27" xfId="0" applyFont="1" applyFill="1" applyBorder="1" applyAlignment="1">
      <alignment vertical="center"/>
    </xf>
    <xf numFmtId="0" fontId="8" fillId="0" borderId="39" xfId="0" applyFont="1" applyBorder="1" applyAlignment="1">
      <alignment vertical="center" wrapText="1"/>
    </xf>
    <xf numFmtId="0" fontId="86" fillId="0" borderId="0" xfId="0" applyFont="1" applyAlignment="1">
      <alignment wrapText="1"/>
    </xf>
    <xf numFmtId="0" fontId="11" fillId="0" borderId="0" xfId="0" applyFont="1" applyAlignment="1">
      <alignment vertical="center"/>
    </xf>
    <xf numFmtId="0" fontId="46" fillId="0" borderId="27" xfId="0" applyFont="1" applyBorder="1" applyAlignment="1">
      <alignment vertical="center"/>
    </xf>
    <xf numFmtId="0" fontId="49" fillId="0" borderId="38" xfId="0" applyFont="1" applyBorder="1" applyAlignment="1">
      <alignment horizontal="center" vertical="center" wrapText="1"/>
    </xf>
    <xf numFmtId="0" fontId="0" fillId="11" borderId="99" xfId="0" applyFill="1" applyBorder="1" applyAlignment="1">
      <alignment vertical="center"/>
    </xf>
    <xf numFmtId="0" fontId="0" fillId="11" borderId="78" xfId="0" applyFill="1" applyBorder="1" applyAlignment="1">
      <alignment vertical="center"/>
    </xf>
    <xf numFmtId="0" fontId="0" fillId="11" borderId="118" xfId="0" applyFill="1" applyBorder="1" applyAlignment="1">
      <alignment vertical="center"/>
    </xf>
    <xf numFmtId="0" fontId="3" fillId="11" borderId="78" xfId="0" applyFont="1" applyFill="1" applyBorder="1" applyAlignment="1">
      <alignment vertical="center" wrapText="1"/>
    </xf>
    <xf numFmtId="0" fontId="3" fillId="11" borderId="119" xfId="0" applyFont="1" applyFill="1" applyBorder="1" applyAlignment="1">
      <alignment vertical="center"/>
    </xf>
    <xf numFmtId="0" fontId="46" fillId="0" borderId="0" xfId="0" applyFont="1" applyAlignment="1">
      <alignment horizontal="center" vertical="center"/>
    </xf>
    <xf numFmtId="0" fontId="46" fillId="11" borderId="27" xfId="0" applyFont="1" applyFill="1" applyBorder="1" applyAlignment="1">
      <alignment horizontal="center" vertical="center"/>
    </xf>
    <xf numFmtId="0" fontId="46" fillId="11" borderId="39" xfId="0" applyFont="1" applyFill="1" applyBorder="1" applyAlignment="1">
      <alignment horizontal="center" vertical="center"/>
    </xf>
    <xf numFmtId="0" fontId="49" fillId="0" borderId="35" xfId="0" applyFont="1" applyBorder="1" applyAlignment="1">
      <alignment horizontal="center" vertical="center" wrapText="1"/>
    </xf>
    <xf numFmtId="0" fontId="19" fillId="0" borderId="34" xfId="0" applyFont="1" applyBorder="1" applyAlignment="1">
      <alignment vertical="center" wrapText="1"/>
    </xf>
    <xf numFmtId="0" fontId="37" fillId="0" borderId="0" xfId="0" applyFont="1" applyAlignment="1">
      <alignment vertical="center"/>
    </xf>
    <xf numFmtId="0" fontId="3" fillId="11" borderId="53" xfId="0" applyFont="1" applyFill="1" applyBorder="1" applyAlignment="1">
      <alignment vertical="center" wrapText="1"/>
    </xf>
    <xf numFmtId="0" fontId="3" fillId="11" borderId="5" xfId="0" applyFont="1" applyFill="1" applyBorder="1" applyAlignment="1">
      <alignment vertical="center" wrapText="1"/>
    </xf>
    <xf numFmtId="0" fontId="65" fillId="28" borderId="39" xfId="0" applyFont="1" applyFill="1" applyBorder="1" applyAlignment="1">
      <alignment horizontal="center" textRotation="90"/>
    </xf>
    <xf numFmtId="0" fontId="65" fillId="28" borderId="38" xfId="0" applyFont="1" applyFill="1" applyBorder="1" applyAlignment="1">
      <alignment horizontal="center" textRotation="90"/>
    </xf>
    <xf numFmtId="0" fontId="8" fillId="0" borderId="36"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58" fillId="5" borderId="77" xfId="0" applyFont="1" applyFill="1" applyBorder="1" applyAlignment="1">
      <alignment horizontal="center" vertical="center" textRotation="90"/>
    </xf>
    <xf numFmtId="0" fontId="58" fillId="5" borderId="49" xfId="0" applyFont="1" applyFill="1" applyBorder="1" applyAlignment="1">
      <alignment horizontal="center" vertical="center" textRotation="90"/>
    </xf>
    <xf numFmtId="0" fontId="57" fillId="3" borderId="27" xfId="0" applyFont="1" applyFill="1" applyBorder="1" applyAlignment="1">
      <alignment horizontal="center" vertical="center" textRotation="90"/>
    </xf>
    <xf numFmtId="0" fontId="8" fillId="0" borderId="35"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37" xfId="0" applyFont="1" applyBorder="1" applyAlignment="1">
      <alignment horizontal="center" vertical="center" wrapText="1"/>
    </xf>
    <xf numFmtId="0" fontId="55" fillId="34" borderId="36" xfId="0" applyFont="1" applyFill="1" applyBorder="1" applyAlignment="1">
      <alignment horizontal="center" vertical="center" wrapText="1"/>
    </xf>
    <xf numFmtId="0" fontId="55" fillId="34" borderId="39" xfId="0" applyFont="1" applyFill="1" applyBorder="1" applyAlignment="1">
      <alignment horizontal="center" vertical="center" wrapText="1"/>
    </xf>
    <xf numFmtId="0" fontId="55" fillId="34" borderId="38" xfId="0" applyFont="1" applyFill="1" applyBorder="1" applyAlignment="1">
      <alignment horizontal="center" vertical="center" wrapText="1"/>
    </xf>
    <xf numFmtId="0" fontId="8" fillId="0" borderId="27" xfId="0" applyFont="1" applyBorder="1" applyAlignment="1">
      <alignment horizontal="center" vertical="center" wrapText="1"/>
    </xf>
    <xf numFmtId="0" fontId="8" fillId="0" borderId="27" xfId="0" applyFont="1" applyBorder="1" applyAlignment="1">
      <alignment horizontal="center" vertical="center"/>
    </xf>
    <xf numFmtId="0" fontId="8" fillId="0" borderId="36"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2" xfId="0" applyFont="1" applyBorder="1" applyAlignment="1">
      <alignment horizontal="center" vertical="center"/>
    </xf>
    <xf numFmtId="0" fontId="57" fillId="33" borderId="36" xfId="0" applyFont="1" applyFill="1" applyBorder="1" applyAlignment="1">
      <alignment horizontal="center" vertical="center" textRotation="90"/>
    </xf>
    <xf numFmtId="0" fontId="57" fillId="33" borderId="39" xfId="0" applyFont="1" applyFill="1" applyBorder="1" applyAlignment="1">
      <alignment horizontal="center" vertical="center" textRotation="90"/>
    </xf>
    <xf numFmtId="0" fontId="57" fillId="33" borderId="38" xfId="0" applyFont="1" applyFill="1" applyBorder="1" applyAlignment="1">
      <alignment horizontal="center" vertical="center" textRotation="90"/>
    </xf>
    <xf numFmtId="0" fontId="30" fillId="0" borderId="2" xfId="0" applyFont="1" applyBorder="1" applyAlignment="1">
      <alignment horizontal="center" vertical="center" wrapText="1"/>
    </xf>
    <xf numFmtId="0" fontId="8" fillId="0" borderId="2" xfId="0" applyFont="1" applyBorder="1" applyAlignment="1">
      <alignment horizontal="center" vertical="center" wrapText="1"/>
    </xf>
    <xf numFmtId="0" fontId="0" fillId="0" borderId="8" xfId="0"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horizontal="center" wrapText="1"/>
    </xf>
    <xf numFmtId="0" fontId="9" fillId="0" borderId="2" xfId="0" applyFont="1" applyBorder="1" applyAlignment="1">
      <alignment horizontal="left" vertical="center" wrapText="1"/>
    </xf>
    <xf numFmtId="0" fontId="87" fillId="0" borderId="0" xfId="0" applyFont="1" applyAlignment="1">
      <alignment horizontal="center"/>
    </xf>
    <xf numFmtId="0" fontId="55" fillId="0" borderId="64" xfId="0" applyFont="1" applyBorder="1" applyAlignment="1">
      <alignment horizontal="center" vertical="center"/>
    </xf>
    <xf numFmtId="0" fontId="55" fillId="0" borderId="27" xfId="0" applyFont="1" applyBorder="1" applyAlignment="1">
      <alignment horizontal="center" vertical="center"/>
    </xf>
    <xf numFmtId="0" fontId="55" fillId="0" borderId="36" xfId="0" applyFont="1" applyBorder="1" applyAlignment="1">
      <alignment horizontal="center" vertical="center"/>
    </xf>
    <xf numFmtId="0" fontId="8" fillId="0" borderId="64" xfId="0" applyFont="1" applyBorder="1" applyAlignment="1">
      <alignment horizontal="center" vertical="center" wrapText="1"/>
    </xf>
    <xf numFmtId="0" fontId="8" fillId="0" borderId="0" xfId="0" applyFont="1" applyAlignment="1">
      <alignment horizontal="center"/>
    </xf>
    <xf numFmtId="0" fontId="54" fillId="15" borderId="36" xfId="0" applyFont="1" applyFill="1" applyBorder="1" applyAlignment="1">
      <alignment horizontal="center" vertical="center" textRotation="90"/>
    </xf>
    <xf numFmtId="0" fontId="54" fillId="15" borderId="39" xfId="0" applyFont="1" applyFill="1" applyBorder="1" applyAlignment="1">
      <alignment horizontal="center" vertical="center" textRotation="90"/>
    </xf>
    <xf numFmtId="0" fontId="54" fillId="15" borderId="38" xfId="0" applyFont="1" applyFill="1" applyBorder="1" applyAlignment="1">
      <alignment horizontal="center" vertical="center" textRotation="90"/>
    </xf>
    <xf numFmtId="0" fontId="57" fillId="5" borderId="110" xfId="0" applyFont="1" applyFill="1" applyBorder="1" applyAlignment="1">
      <alignment horizontal="center" vertical="center" textRotation="90"/>
    </xf>
    <xf numFmtId="0" fontId="57" fillId="5" borderId="72" xfId="0" applyFont="1" applyFill="1" applyBorder="1" applyAlignment="1">
      <alignment horizontal="center" vertical="center" textRotation="90"/>
    </xf>
    <xf numFmtId="0" fontId="57" fillId="5" borderId="73" xfId="0" applyFont="1" applyFill="1" applyBorder="1" applyAlignment="1">
      <alignment horizontal="center" vertical="center" textRotation="90"/>
    </xf>
    <xf numFmtId="0" fontId="57" fillId="0" borderId="64" xfId="0" applyFont="1" applyBorder="1" applyAlignment="1">
      <alignment horizontal="center" vertical="center"/>
    </xf>
    <xf numFmtId="0" fontId="57" fillId="0" borderId="27" xfId="0" applyFont="1" applyBorder="1" applyAlignment="1">
      <alignment horizontal="center" vertical="center"/>
    </xf>
    <xf numFmtId="0" fontId="57" fillId="0" borderId="36" xfId="0" applyFont="1" applyBorder="1" applyAlignment="1">
      <alignment horizontal="center" vertical="center"/>
    </xf>
    <xf numFmtId="0" fontId="8" fillId="0" borderId="70" xfId="0" applyFont="1" applyBorder="1" applyAlignment="1">
      <alignment horizontal="center" vertical="center" wrapText="1"/>
    </xf>
    <xf numFmtId="0" fontId="8" fillId="0" borderId="112" xfId="0" applyFont="1" applyBorder="1" applyAlignment="1">
      <alignment horizontal="center" vertical="center" wrapText="1"/>
    </xf>
    <xf numFmtId="0" fontId="8" fillId="0" borderId="70" xfId="0" applyFont="1" applyBorder="1" applyAlignment="1">
      <alignment horizontal="center" vertical="center"/>
    </xf>
    <xf numFmtId="0" fontId="28" fillId="0" borderId="27" xfId="0" applyFont="1" applyBorder="1" applyAlignment="1">
      <alignment horizontal="center"/>
    </xf>
    <xf numFmtId="0" fontId="8" fillId="0" borderId="51"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5" xfId="0" applyFont="1" applyBorder="1" applyAlignment="1">
      <alignment horizontal="left" vertical="center" wrapText="1"/>
    </xf>
    <xf numFmtId="0" fontId="8" fillId="0" borderId="37" xfId="0" applyFont="1" applyBorder="1" applyAlignment="1">
      <alignment horizontal="left" vertical="center" wrapText="1"/>
    </xf>
    <xf numFmtId="0" fontId="8" fillId="0" borderId="36" xfId="0" applyFont="1" applyBorder="1" applyAlignment="1">
      <alignment horizontal="center" wrapText="1"/>
    </xf>
    <xf numFmtId="0" fontId="8" fillId="0" borderId="38" xfId="0" applyFont="1" applyBorder="1" applyAlignment="1">
      <alignment horizontal="center" wrapText="1"/>
    </xf>
    <xf numFmtId="0" fontId="8" fillId="0" borderId="5" xfId="0" applyFont="1" applyBorder="1" applyAlignment="1">
      <alignment horizontal="left" wrapText="1"/>
    </xf>
    <xf numFmtId="0" fontId="8" fillId="0" borderId="7" xfId="0" applyFont="1" applyBorder="1" applyAlignment="1">
      <alignment horizontal="left"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17" fillId="0" borderId="27" xfId="0" applyFont="1" applyBorder="1" applyAlignment="1">
      <alignment horizontal="center" vertical="center"/>
    </xf>
    <xf numFmtId="0" fontId="2" fillId="0" borderId="56" xfId="0" applyFont="1" applyBorder="1" applyAlignment="1">
      <alignment horizontal="center" vertical="center" wrapText="1"/>
    </xf>
    <xf numFmtId="0" fontId="7" fillId="8" borderId="27" xfId="0" applyFont="1" applyFill="1" applyBorder="1" applyAlignment="1">
      <alignment horizontal="center" vertical="center"/>
    </xf>
    <xf numFmtId="0" fontId="7" fillId="8" borderId="27" xfId="0" applyFont="1" applyFill="1" applyBorder="1" applyAlignment="1">
      <alignment horizontal="center" vertical="center" wrapText="1"/>
    </xf>
    <xf numFmtId="0" fontId="7" fillId="8" borderId="28" xfId="0" applyFont="1" applyFill="1" applyBorder="1" applyAlignment="1">
      <alignment horizontal="center" wrapText="1"/>
    </xf>
    <xf numFmtId="0" fontId="7" fillId="8" borderId="56" xfId="0" applyFont="1" applyFill="1" applyBorder="1" applyAlignment="1">
      <alignment horizontal="center" wrapText="1"/>
    </xf>
    <xf numFmtId="0" fontId="7" fillId="8" borderId="34" xfId="0" applyFont="1" applyFill="1" applyBorder="1" applyAlignment="1">
      <alignment horizontal="center" wrapText="1"/>
    </xf>
    <xf numFmtId="0" fontId="1" fillId="0" borderId="27" xfId="0" applyFont="1" applyBorder="1" applyAlignment="1">
      <alignment horizontal="center"/>
    </xf>
    <xf numFmtId="0" fontId="16" fillId="0" borderId="27" xfId="0" applyFont="1" applyBorder="1" applyAlignment="1">
      <alignment horizontal="center"/>
    </xf>
    <xf numFmtId="0" fontId="16" fillId="0" borderId="27" xfId="0" applyFont="1" applyBorder="1" applyAlignment="1">
      <alignment horizontal="center" vertical="center"/>
    </xf>
    <xf numFmtId="0" fontId="1" fillId="0" borderId="27" xfId="0" applyFont="1" applyBorder="1" applyAlignment="1">
      <alignment horizontal="center" vertical="center"/>
    </xf>
    <xf numFmtId="0" fontId="16" fillId="0" borderId="36" xfId="0" applyFont="1" applyBorder="1" applyAlignment="1">
      <alignment horizontal="center"/>
    </xf>
    <xf numFmtId="0" fontId="1" fillId="0" borderId="36" xfId="0" applyFon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51" xfId="0" applyBorder="1" applyAlignment="1">
      <alignment horizontal="center"/>
    </xf>
    <xf numFmtId="0" fontId="0" fillId="0" borderId="36" xfId="0" applyBorder="1" applyAlignment="1">
      <alignment horizontal="center"/>
    </xf>
    <xf numFmtId="0" fontId="7" fillId="8" borderId="27" xfId="0" applyFont="1" applyFill="1" applyBorder="1" applyAlignment="1">
      <alignment horizontal="center" wrapText="1"/>
    </xf>
    <xf numFmtId="0" fontId="27" fillId="0" borderId="50" xfId="0" applyFont="1" applyBorder="1" applyAlignment="1">
      <alignment horizontal="center" vertical="center" wrapText="1"/>
    </xf>
    <xf numFmtId="0" fontId="27" fillId="0" borderId="0" xfId="0" applyFont="1" applyAlignment="1">
      <alignment horizontal="center" vertical="center" wrapText="1"/>
    </xf>
    <xf numFmtId="0" fontId="27" fillId="0" borderId="30" xfId="0" applyFont="1" applyBorder="1" applyAlignment="1">
      <alignment horizontal="center" vertical="center" wrapText="1"/>
    </xf>
    <xf numFmtId="0" fontId="8" fillId="0" borderId="74" xfId="0" applyFont="1" applyBorder="1" applyAlignment="1">
      <alignment horizontal="center" vertical="center"/>
    </xf>
    <xf numFmtId="0" fontId="8" fillId="0" borderId="74" xfId="0" applyFont="1" applyBorder="1" applyAlignment="1">
      <alignment horizontal="center" vertical="center" wrapText="1"/>
    </xf>
    <xf numFmtId="0" fontId="8" fillId="0" borderId="67" xfId="0" applyFont="1" applyBorder="1" applyAlignment="1">
      <alignment horizontal="center" vertical="center" wrapText="1"/>
    </xf>
    <xf numFmtId="0" fontId="8" fillId="0" borderId="64" xfId="0" applyFont="1" applyBorder="1" applyAlignment="1">
      <alignment horizontal="center" vertical="center"/>
    </xf>
    <xf numFmtId="0" fontId="8" fillId="0" borderId="67" xfId="0" applyFont="1" applyBorder="1" applyAlignment="1">
      <alignment horizontal="center" vertical="center"/>
    </xf>
    <xf numFmtId="0" fontId="8" fillId="0" borderId="45" xfId="0" applyFont="1" applyBorder="1" applyAlignment="1">
      <alignment horizontal="center" vertical="center"/>
    </xf>
    <xf numFmtId="0" fontId="8" fillId="0" borderId="69" xfId="0" applyFont="1" applyBorder="1" applyAlignment="1">
      <alignment horizontal="center" vertical="center"/>
    </xf>
    <xf numFmtId="0" fontId="27" fillId="0" borderId="39" xfId="0" applyFont="1" applyBorder="1" applyAlignment="1">
      <alignment horizontal="center" vertical="center" wrapText="1"/>
    </xf>
    <xf numFmtId="0" fontId="27" fillId="0" borderId="38" xfId="0" applyFont="1" applyBorder="1" applyAlignment="1">
      <alignment horizontal="center" vertical="center" wrapText="1"/>
    </xf>
    <xf numFmtId="0" fontId="8" fillId="0" borderId="71" xfId="0" applyFont="1" applyBorder="1" applyAlignment="1">
      <alignment horizontal="center" vertical="center"/>
    </xf>
    <xf numFmtId="0" fontId="8" fillId="0" borderId="72" xfId="0" applyFont="1" applyBorder="1" applyAlignment="1">
      <alignment horizontal="center" vertical="center"/>
    </xf>
    <xf numFmtId="0" fontId="8" fillId="0" borderId="73" xfId="0" applyFont="1" applyBorder="1" applyAlignment="1">
      <alignment horizontal="center" vertical="center"/>
    </xf>
    <xf numFmtId="0" fontId="8" fillId="0" borderId="58" xfId="0" applyFont="1" applyBorder="1" applyAlignment="1">
      <alignment horizontal="center" vertical="center"/>
    </xf>
    <xf numFmtId="0" fontId="8" fillId="0" borderId="37" xfId="0" applyFont="1" applyBorder="1" applyAlignment="1">
      <alignment horizontal="center" vertical="center"/>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47" fillId="32" borderId="25" xfId="0" applyFont="1" applyFill="1" applyBorder="1" applyAlignment="1">
      <alignment horizontal="center" vertical="center" textRotation="90"/>
    </xf>
    <xf numFmtId="0" fontId="47" fillId="32" borderId="105" xfId="0" applyFont="1" applyFill="1" applyBorder="1" applyAlignment="1">
      <alignment horizontal="center" vertical="center" textRotation="90"/>
    </xf>
    <xf numFmtId="0" fontId="47" fillId="32" borderId="106" xfId="0" applyFont="1" applyFill="1" applyBorder="1" applyAlignment="1">
      <alignment horizontal="center" vertical="center" textRotation="90"/>
    </xf>
    <xf numFmtId="0" fontId="45" fillId="33" borderId="35" xfId="0" applyFont="1" applyFill="1" applyBorder="1" applyAlignment="1">
      <alignment horizontal="center" vertical="center" textRotation="90" wrapText="1"/>
    </xf>
    <xf numFmtId="0" fontId="45" fillId="33" borderId="58" xfId="0" applyFont="1" applyFill="1" applyBorder="1" applyAlignment="1">
      <alignment horizontal="center" vertical="center" textRotation="90" wrapText="1"/>
    </xf>
    <xf numFmtId="0" fontId="45" fillId="33" borderId="37" xfId="0" applyFont="1" applyFill="1" applyBorder="1" applyAlignment="1">
      <alignment horizontal="center" vertical="center" textRotation="90" wrapText="1"/>
    </xf>
    <xf numFmtId="0" fontId="44" fillId="0" borderId="36" xfId="0" applyFont="1" applyBorder="1" applyAlignment="1">
      <alignment horizontal="center" vertical="center"/>
    </xf>
    <xf numFmtId="0" fontId="44" fillId="0" borderId="38" xfId="0" applyFont="1" applyBorder="1" applyAlignment="1">
      <alignment horizontal="center" vertical="center"/>
    </xf>
    <xf numFmtId="0" fontId="14" fillId="0" borderId="36" xfId="0" applyFont="1" applyBorder="1" applyAlignment="1">
      <alignment horizontal="center" vertical="center" wrapText="1"/>
    </xf>
    <xf numFmtId="0" fontId="14" fillId="0" borderId="38"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8"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6" xfId="0" applyFont="1" applyBorder="1" applyAlignment="1">
      <alignment horizontal="center" vertical="center"/>
    </xf>
    <xf numFmtId="0" fontId="3" fillId="0" borderId="38" xfId="0" applyFont="1" applyBorder="1" applyAlignment="1">
      <alignment horizontal="center" vertical="center"/>
    </xf>
    <xf numFmtId="0" fontId="20" fillId="0" borderId="36" xfId="0" applyFont="1" applyBorder="1" applyAlignment="1">
      <alignment horizontal="center" vertical="center" wrapText="1"/>
    </xf>
    <xf numFmtId="0" fontId="20" fillId="0" borderId="38" xfId="0" applyFont="1" applyBorder="1" applyAlignment="1">
      <alignment horizontal="center" vertical="center" wrapText="1"/>
    </xf>
    <xf numFmtId="0" fontId="47" fillId="31" borderId="12" xfId="0" applyFont="1" applyFill="1" applyBorder="1" applyAlignment="1">
      <alignment horizontal="center" vertical="center" textRotation="90"/>
    </xf>
    <xf numFmtId="0" fontId="47" fillId="31" borderId="15" xfId="0" applyFont="1" applyFill="1" applyBorder="1" applyAlignment="1">
      <alignment horizontal="center" vertical="center" textRotation="90"/>
    </xf>
    <xf numFmtId="0" fontId="47" fillId="31" borderId="105" xfId="0" applyFont="1" applyFill="1" applyBorder="1" applyAlignment="1">
      <alignment horizontal="center" vertical="center" textRotation="90"/>
    </xf>
    <xf numFmtId="0" fontId="47" fillId="31" borderId="106" xfId="0" applyFont="1" applyFill="1" applyBorder="1" applyAlignment="1">
      <alignment horizontal="center" vertical="center" textRotation="90"/>
    </xf>
    <xf numFmtId="0" fontId="45" fillId="29" borderId="27" xfId="0" applyFont="1" applyFill="1" applyBorder="1" applyAlignment="1">
      <alignment horizontal="center" vertical="center" textRotation="90"/>
    </xf>
    <xf numFmtId="0" fontId="45" fillId="29" borderId="28" xfId="0" applyFont="1" applyFill="1" applyBorder="1" applyAlignment="1">
      <alignment horizontal="center" vertical="center" textRotation="90"/>
    </xf>
    <xf numFmtId="0" fontId="45" fillId="30" borderId="105" xfId="0" applyFont="1" applyFill="1" applyBorder="1" applyAlignment="1">
      <alignment horizontal="center" vertical="center" textRotation="90"/>
    </xf>
    <xf numFmtId="0" fontId="45" fillId="30" borderId="117" xfId="0" applyFont="1" applyFill="1" applyBorder="1" applyAlignment="1">
      <alignment horizontal="center" vertical="center" textRotation="90"/>
    </xf>
    <xf numFmtId="0" fontId="47" fillId="5" borderId="25" xfId="0" applyFont="1" applyFill="1" applyBorder="1" applyAlignment="1">
      <alignment horizontal="center" vertical="center" textRotation="90"/>
    </xf>
    <xf numFmtId="0" fontId="47" fillId="5" borderId="105" xfId="0" applyFont="1" applyFill="1" applyBorder="1" applyAlignment="1">
      <alignment horizontal="center" vertical="center" textRotation="90"/>
    </xf>
    <xf numFmtId="0" fontId="47" fillId="5" borderId="106" xfId="0" applyFont="1" applyFill="1" applyBorder="1" applyAlignment="1">
      <alignment horizontal="center" vertical="center" textRotation="90"/>
    </xf>
    <xf numFmtId="0" fontId="11" fillId="0" borderId="0" xfId="0" applyFont="1" applyAlignment="1">
      <alignment horizontal="center" vertical="center"/>
    </xf>
    <xf numFmtId="0" fontId="71" fillId="0" borderId="24" xfId="0" applyFont="1" applyBorder="1" applyAlignment="1">
      <alignment horizontal="left" vertical="center" wrapText="1"/>
    </xf>
    <xf numFmtId="0" fontId="46" fillId="0" borderId="78" xfId="0" applyFont="1" applyBorder="1" applyAlignment="1">
      <alignment horizontal="center" vertical="center"/>
    </xf>
    <xf numFmtId="0" fontId="46" fillId="0" borderId="39" xfId="0" applyFont="1" applyBorder="1" applyAlignment="1">
      <alignment horizontal="center" vertical="center"/>
    </xf>
    <xf numFmtId="0" fontId="46" fillId="0" borderId="38" xfId="0" applyFont="1" applyBorder="1" applyAlignment="1">
      <alignment horizontal="center" vertical="center"/>
    </xf>
    <xf numFmtId="0" fontId="20" fillId="0" borderId="78" xfId="0" applyFont="1" applyBorder="1" applyAlignment="1">
      <alignment horizontal="center" vertical="center" wrapText="1"/>
    </xf>
    <xf numFmtId="0" fontId="20" fillId="0" borderId="39" xfId="0" applyFont="1" applyBorder="1" applyAlignment="1">
      <alignment horizontal="center" vertical="center" wrapText="1"/>
    </xf>
    <xf numFmtId="0" fontId="47" fillId="0" borderId="50" xfId="0" applyFont="1" applyBorder="1" applyAlignment="1">
      <alignment horizontal="center" vertical="center" wrapText="1"/>
    </xf>
    <xf numFmtId="0" fontId="47" fillId="0" borderId="0" xfId="0" applyFont="1" applyAlignment="1">
      <alignment horizontal="center" vertical="center" wrapText="1"/>
    </xf>
    <xf numFmtId="0" fontId="47" fillId="0" borderId="24" xfId="0" applyFont="1" applyBorder="1" applyAlignment="1">
      <alignment horizontal="center" vertical="center" wrapText="1"/>
    </xf>
    <xf numFmtId="0" fontId="3" fillId="0" borderId="39" xfId="0" applyFont="1" applyBorder="1" applyAlignment="1">
      <alignment horizontal="center" vertical="center"/>
    </xf>
    <xf numFmtId="0" fontId="0" fillId="5" borderId="39" xfId="0" applyFill="1" applyBorder="1" applyAlignment="1">
      <alignment horizontal="center" vertical="center"/>
    </xf>
    <xf numFmtId="0" fontId="0" fillId="5" borderId="38" xfId="0" applyFill="1" applyBorder="1" applyAlignment="1">
      <alignment horizontal="center" vertical="center"/>
    </xf>
    <xf numFmtId="0" fontId="0" fillId="5" borderId="49" xfId="0" applyFill="1" applyBorder="1" applyAlignment="1">
      <alignment horizontal="center" vertical="center"/>
    </xf>
    <xf numFmtId="0" fontId="0" fillId="0" borderId="27" xfId="0"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0" fillId="4" borderId="57" xfId="0"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0" fillId="3" borderId="13" xfId="0" applyFill="1" applyBorder="1" applyAlignment="1">
      <alignment horizontal="center" vertical="center"/>
    </xf>
    <xf numFmtId="0" fontId="0" fillId="3" borderId="10"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5" xfId="0" applyFill="1" applyBorder="1" applyAlignment="1">
      <alignment horizontal="center" vertical="center"/>
    </xf>
    <xf numFmtId="0" fontId="3" fillId="3" borderId="13"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3"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0" fillId="0" borderId="35" xfId="0" applyBorder="1" applyAlignment="1">
      <alignment horizontal="center"/>
    </xf>
    <xf numFmtId="0" fontId="0" fillId="0" borderId="58" xfId="0" applyBorder="1" applyAlignment="1">
      <alignment horizontal="center"/>
    </xf>
    <xf numFmtId="0" fontId="0" fillId="3" borderId="14" xfId="0" applyFill="1" applyBorder="1" applyAlignment="1">
      <alignment horizontal="center" vertical="center"/>
    </xf>
    <xf numFmtId="0" fontId="0" fillId="3" borderId="16" xfId="0" applyFill="1" applyBorder="1" applyAlignment="1">
      <alignment horizontal="center" vertical="center"/>
    </xf>
    <xf numFmtId="0" fontId="0" fillId="3" borderId="55" xfId="0" applyFill="1" applyBorder="1" applyAlignment="1">
      <alignment horizontal="center" vertical="center"/>
    </xf>
    <xf numFmtId="0" fontId="0" fillId="0" borderId="27" xfId="0" applyBorder="1" applyAlignment="1">
      <alignment horizontal="left"/>
    </xf>
    <xf numFmtId="0" fontId="16" fillId="3" borderId="5" xfId="0" applyFont="1" applyFill="1" applyBorder="1" applyAlignment="1">
      <alignment horizontal="center" vertical="center" wrapText="1"/>
    </xf>
    <xf numFmtId="0" fontId="0" fillId="0" borderId="27" xfId="0" applyBorder="1" applyAlignment="1">
      <alignment horizontal="center" wrapText="1"/>
    </xf>
    <xf numFmtId="0" fontId="6" fillId="2" borderId="27" xfId="0" applyFont="1" applyFill="1" applyBorder="1" applyAlignment="1">
      <alignment horizontal="center"/>
    </xf>
    <xf numFmtId="0" fontId="6" fillId="0" borderId="27" xfId="0" applyFont="1" applyBorder="1" applyAlignment="1">
      <alignment horizontal="center"/>
    </xf>
    <xf numFmtId="0" fontId="20" fillId="0" borderId="27" xfId="0" applyFont="1" applyBorder="1" applyAlignment="1">
      <alignment horizontal="center" vertical="center" wrapText="1"/>
    </xf>
    <xf numFmtId="0" fontId="20" fillId="0" borderId="27" xfId="0" applyFont="1" applyBorder="1" applyAlignment="1">
      <alignment horizontal="center" vertical="center"/>
    </xf>
    <xf numFmtId="0" fontId="2" fillId="0" borderId="27" xfId="0" applyFont="1" applyBorder="1" applyAlignment="1">
      <alignment horizontal="center"/>
    </xf>
    <xf numFmtId="0" fontId="3" fillId="0" borderId="35" xfId="0" applyFont="1" applyBorder="1" applyAlignment="1">
      <alignment horizontal="center" vertical="center"/>
    </xf>
    <xf numFmtId="0" fontId="3" fillId="0" borderId="58" xfId="0" applyFont="1" applyBorder="1" applyAlignment="1">
      <alignment horizontal="center" vertical="center"/>
    </xf>
    <xf numFmtId="0" fontId="0" fillId="0" borderId="27" xfId="0" applyBorder="1" applyAlignment="1">
      <alignment horizontal="left" vertical="center"/>
    </xf>
    <xf numFmtId="0" fontId="0" fillId="0" borderId="27" xfId="0" applyBorder="1" applyAlignment="1">
      <alignment vertical="center" wrapText="1"/>
    </xf>
    <xf numFmtId="0" fontId="0" fillId="0" borderId="56" xfId="0" applyBorder="1" applyAlignment="1">
      <alignment horizontal="center" vertical="center"/>
    </xf>
    <xf numFmtId="0" fontId="0" fillId="0" borderId="34" xfId="0" applyBorder="1" applyAlignment="1">
      <alignment horizontal="center" vertical="center"/>
    </xf>
    <xf numFmtId="0" fontId="6" fillId="21" borderId="27" xfId="0" applyFont="1" applyFill="1" applyBorder="1" applyAlignment="1">
      <alignment horizontal="center"/>
    </xf>
    <xf numFmtId="0" fontId="7" fillId="8" borderId="29" xfId="0" applyFont="1" applyFill="1" applyBorder="1" applyAlignment="1">
      <alignment horizontal="center" wrapText="1"/>
    </xf>
    <xf numFmtId="0" fontId="7" fillId="8" borderId="30" xfId="0" applyFont="1" applyFill="1" applyBorder="1" applyAlignment="1">
      <alignment horizontal="center" wrapText="1"/>
    </xf>
    <xf numFmtId="0" fontId="7" fillId="8" borderId="27" xfId="0" applyFont="1" applyFill="1" applyBorder="1" applyAlignment="1">
      <alignment horizontal="center"/>
    </xf>
    <xf numFmtId="0" fontId="4" fillId="0" borderId="51" xfId="0" applyFont="1" applyBorder="1" applyAlignment="1">
      <alignment horizontal="center" vertical="center" wrapText="1"/>
    </xf>
    <xf numFmtId="0" fontId="4" fillId="0" borderId="29"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7" xfId="0" applyFont="1" applyBorder="1" applyAlignment="1">
      <alignment horizontal="center" vertical="center"/>
    </xf>
    <xf numFmtId="0" fontId="2" fillId="3" borderId="36" xfId="0" applyFont="1" applyFill="1" applyBorder="1" applyAlignment="1">
      <alignment horizontal="center"/>
    </xf>
    <xf numFmtId="0" fontId="2" fillId="3" borderId="51" xfId="0" applyFont="1" applyFill="1" applyBorder="1" applyAlignment="1">
      <alignment horizontal="center"/>
    </xf>
    <xf numFmtId="0" fontId="2" fillId="3" borderId="27" xfId="0" applyFont="1" applyFill="1" applyBorder="1" applyAlignment="1">
      <alignment horizontal="center"/>
    </xf>
    <xf numFmtId="0" fontId="11" fillId="0" borderId="27" xfId="0" applyFont="1" applyBorder="1" applyAlignment="1">
      <alignment horizontal="center" vertical="center"/>
    </xf>
    <xf numFmtId="0" fontId="11" fillId="0" borderId="51" xfId="0" applyFont="1" applyBorder="1" applyAlignment="1">
      <alignment horizontal="center" vertical="center"/>
    </xf>
    <xf numFmtId="0" fontId="11" fillId="0" borderId="50" xfId="0" applyFont="1" applyBorder="1" applyAlignment="1">
      <alignment horizontal="center" vertical="center"/>
    </xf>
    <xf numFmtId="0" fontId="11" fillId="0" borderId="35"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7" xfId="0" applyFont="1" applyBorder="1" applyAlignment="1">
      <alignment horizontal="center" vertical="center"/>
    </xf>
    <xf numFmtId="0" fontId="2" fillId="0" borderId="36" xfId="0" applyFont="1" applyBorder="1" applyAlignment="1">
      <alignment horizontal="center"/>
    </xf>
    <xf numFmtId="0" fontId="0" fillId="3" borderId="51" xfId="0" applyFill="1" applyBorder="1" applyAlignment="1">
      <alignment horizontal="center" vertical="center" wrapText="1"/>
    </xf>
    <xf numFmtId="0" fontId="0" fillId="3" borderId="49" xfId="0" applyFill="1" applyBorder="1" applyAlignment="1">
      <alignment horizontal="center" vertical="center" wrapText="1"/>
    </xf>
    <xf numFmtId="0" fontId="0" fillId="3" borderId="29" xfId="0" applyFill="1" applyBorder="1" applyAlignment="1">
      <alignment horizontal="center" vertical="center" wrapText="1"/>
    </xf>
    <xf numFmtId="0" fontId="0" fillId="0" borderId="49" xfId="0" applyBorder="1" applyAlignment="1">
      <alignment horizontal="center" vertical="center"/>
    </xf>
    <xf numFmtId="0" fontId="0" fillId="3" borderId="49" xfId="0" applyFill="1" applyBorder="1" applyAlignment="1">
      <alignment horizontal="center" vertical="center"/>
    </xf>
    <xf numFmtId="0" fontId="0" fillId="3" borderId="51" xfId="0" applyFill="1" applyBorder="1" applyAlignment="1">
      <alignment horizontal="center" vertical="center"/>
    </xf>
    <xf numFmtId="0" fontId="0" fillId="3" borderId="29" xfId="0" applyFill="1" applyBorder="1" applyAlignment="1">
      <alignment horizontal="center" vertical="center"/>
    </xf>
    <xf numFmtId="0" fontId="11" fillId="0" borderId="51"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7" xfId="0" applyFont="1" applyBorder="1" applyAlignment="1">
      <alignment horizontal="center" vertical="center" wrapText="1"/>
    </xf>
    <xf numFmtId="0" fontId="2" fillId="0" borderId="28" xfId="0" applyFont="1" applyBorder="1" applyAlignment="1">
      <alignment horizontal="center"/>
    </xf>
    <xf numFmtId="0" fontId="11" fillId="0" borderId="49" xfId="0" applyFont="1" applyBorder="1" applyAlignment="1">
      <alignment horizontal="center" vertical="center"/>
    </xf>
    <xf numFmtId="0" fontId="2" fillId="26" borderId="27" xfId="0" applyFont="1" applyFill="1" applyBorder="1" applyAlignment="1">
      <alignment horizontal="center"/>
    </xf>
    <xf numFmtId="0" fontId="2" fillId="25" borderId="27" xfId="0" applyFont="1" applyFill="1" applyBorder="1" applyAlignment="1">
      <alignment horizontal="center"/>
    </xf>
    <xf numFmtId="0" fontId="0" fillId="3" borderId="27" xfId="0" applyFill="1" applyBorder="1" applyAlignment="1">
      <alignment horizontal="center" vertical="center" wrapText="1"/>
    </xf>
    <xf numFmtId="0" fontId="76" fillId="16" borderId="10" xfId="0" applyFont="1" applyFill="1" applyBorder="1" applyAlignment="1">
      <alignment wrapText="1"/>
    </xf>
    <xf numFmtId="0" fontId="76" fillId="16" borderId="116" xfId="0" applyFont="1" applyFill="1" applyBorder="1" applyAlignment="1">
      <alignment wrapText="1"/>
    </xf>
    <xf numFmtId="0" fontId="8" fillId="16" borderId="10" xfId="0" applyFont="1" applyFill="1" applyBorder="1" applyAlignment="1">
      <alignment vertical="center" wrapText="1"/>
    </xf>
    <xf numFmtId="0" fontId="8" fillId="16" borderId="7" xfId="0" applyFont="1" applyFill="1" applyBorder="1" applyAlignment="1">
      <alignment vertical="center" wrapText="1"/>
    </xf>
    <xf numFmtId="0" fontId="10" fillId="39" borderId="28" xfId="0" applyFont="1" applyFill="1" applyBorder="1" applyAlignment="1">
      <alignment horizontal="center"/>
    </xf>
    <xf numFmtId="0" fontId="10" fillId="39" borderId="56" xfId="0" applyFont="1" applyFill="1" applyBorder="1" applyAlignment="1">
      <alignment horizontal="center"/>
    </xf>
    <xf numFmtId="0" fontId="10" fillId="39" borderId="34" xfId="0" applyFont="1" applyFill="1" applyBorder="1" applyAlignment="1">
      <alignment horizontal="center"/>
    </xf>
    <xf numFmtId="0" fontId="8" fillId="16" borderId="10" xfId="0" applyFont="1" applyFill="1" applyBorder="1" applyAlignment="1">
      <alignment vertical="center"/>
    </xf>
    <xf numFmtId="0" fontId="8" fillId="16" borderId="7" xfId="0" applyFont="1" applyFill="1" applyBorder="1" applyAlignment="1">
      <alignment vertical="center"/>
    </xf>
    <xf numFmtId="0" fontId="84" fillId="16" borderId="10" xfId="0" applyFont="1" applyFill="1" applyBorder="1" applyAlignment="1">
      <alignment wrapText="1"/>
    </xf>
    <xf numFmtId="0" fontId="84" fillId="16" borderId="116" xfId="0" applyFont="1" applyFill="1" applyBorder="1" applyAlignment="1">
      <alignment wrapText="1"/>
    </xf>
    <xf numFmtId="0" fontId="76" fillId="38" borderId="10" xfId="0" applyFont="1" applyFill="1" applyBorder="1" applyAlignment="1">
      <alignment wrapText="1"/>
    </xf>
    <xf numFmtId="0" fontId="8" fillId="38" borderId="10" xfId="0" applyFont="1" applyFill="1" applyBorder="1" applyAlignment="1">
      <alignment vertical="center"/>
    </xf>
    <xf numFmtId="0" fontId="10" fillId="38" borderId="10" xfId="0" applyFont="1" applyFill="1" applyBorder="1" applyAlignment="1">
      <alignment wrapText="1"/>
    </xf>
    <xf numFmtId="0" fontId="2" fillId="7" borderId="2" xfId="0" applyFont="1" applyFill="1" applyBorder="1" applyAlignment="1">
      <alignment horizontal="center"/>
    </xf>
    <xf numFmtId="0" fontId="2" fillId="14" borderId="8" xfId="0" applyFont="1" applyFill="1" applyBorder="1" applyAlignment="1">
      <alignment horizontal="center" wrapText="1"/>
    </xf>
    <xf numFmtId="0" fontId="2" fillId="14" borderId="9" xfId="0" applyFont="1" applyFill="1" applyBorder="1" applyAlignment="1">
      <alignment horizontal="center" wrapText="1"/>
    </xf>
    <xf numFmtId="0" fontId="2" fillId="12" borderId="8" xfId="0" applyFont="1" applyFill="1" applyBorder="1" applyAlignment="1">
      <alignment horizontal="center" wrapText="1"/>
    </xf>
    <xf numFmtId="0" fontId="2" fillId="12" borderId="9" xfId="0" applyFont="1" applyFill="1" applyBorder="1" applyAlignment="1">
      <alignment horizontal="center" wrapText="1"/>
    </xf>
    <xf numFmtId="0" fontId="2" fillId="7" borderId="8" xfId="0" applyFont="1" applyFill="1" applyBorder="1" applyAlignment="1">
      <alignment horizontal="center"/>
    </xf>
    <xf numFmtId="0" fontId="2" fillId="7" borderId="9" xfId="0" applyFont="1" applyFill="1" applyBorder="1" applyAlignment="1">
      <alignment horizontal="center"/>
    </xf>
    <xf numFmtId="0" fontId="2" fillId="5" borderId="8" xfId="0" applyFont="1" applyFill="1" applyBorder="1" applyAlignment="1">
      <alignment horizontal="center" wrapText="1"/>
    </xf>
    <xf numFmtId="0" fontId="2" fillId="5" borderId="9" xfId="0" applyFont="1" applyFill="1" applyBorder="1" applyAlignment="1">
      <alignment horizontal="center" wrapText="1"/>
    </xf>
    <xf numFmtId="0" fontId="2" fillId="13" borderId="8" xfId="0" applyFont="1" applyFill="1" applyBorder="1" applyAlignment="1">
      <alignment horizontal="center" wrapText="1"/>
    </xf>
    <xf numFmtId="0" fontId="2" fillId="13" borderId="9" xfId="0" applyFont="1" applyFill="1" applyBorder="1" applyAlignment="1">
      <alignment horizontal="center" wrapText="1"/>
    </xf>
    <xf numFmtId="0" fontId="10" fillId="35" borderId="32" xfId="0" applyFont="1" applyFill="1" applyBorder="1" applyAlignment="1">
      <alignment horizontal="center"/>
    </xf>
    <xf numFmtId="0" fontId="10" fillId="35" borderId="114" xfId="0" applyFont="1" applyFill="1" applyBorder="1" applyAlignment="1">
      <alignment horizontal="center"/>
    </xf>
    <xf numFmtId="0" fontId="2" fillId="7" borderId="5" xfId="0" applyFont="1" applyFill="1" applyBorder="1" applyAlignment="1">
      <alignment horizontal="center"/>
    </xf>
    <xf numFmtId="0" fontId="17" fillId="18" borderId="27" xfId="0" applyFont="1" applyFill="1" applyBorder="1" applyAlignment="1">
      <alignment horizontal="center"/>
    </xf>
    <xf numFmtId="0" fontId="10" fillId="16" borderId="8" xfId="0" applyFont="1" applyFill="1" applyBorder="1" applyAlignment="1">
      <alignment horizontal="center"/>
    </xf>
    <xf numFmtId="0" fontId="10" fillId="16" borderId="54" xfId="0" applyFont="1" applyFill="1" applyBorder="1" applyAlignment="1">
      <alignment horizontal="center"/>
    </xf>
    <xf numFmtId="0" fontId="8" fillId="0" borderId="64" xfId="0" applyFont="1" applyBorder="1" applyAlignment="1"/>
    <xf numFmtId="0" fontId="8" fillId="0" borderId="27" xfId="0" applyFont="1" applyBorder="1" applyAlignment="1"/>
    <xf numFmtId="0" fontId="8" fillId="0" borderId="67" xfId="0" applyFont="1" applyBorder="1" applyAlignment="1"/>
    <xf numFmtId="0" fontId="27" fillId="0" borderId="64" xfId="0" applyFont="1" applyBorder="1" applyAlignment="1"/>
    <xf numFmtId="0" fontId="27" fillId="0" borderId="27" xfId="0" applyFont="1" applyBorder="1" applyAlignment="1"/>
    <xf numFmtId="0" fontId="27" fillId="0" borderId="67" xfId="0" applyFont="1" applyBorder="1" applyAlignment="1"/>
    <xf numFmtId="0" fontId="10" fillId="0" borderId="28" xfId="0" applyFont="1" applyBorder="1" applyAlignment="1"/>
    <xf numFmtId="0" fontId="10" fillId="0" borderId="56" xfId="0" applyFont="1" applyBorder="1" applyAlignment="1"/>
    <xf numFmtId="0" fontId="10" fillId="0" borderId="34" xfId="0" applyFont="1" applyBorder="1" applyAlignment="1"/>
    <xf numFmtId="0" fontId="10" fillId="16" borderId="10" xfId="0" applyFont="1" applyFill="1" applyBorder="1" applyAlignment="1"/>
    <xf numFmtId="0" fontId="8" fillId="16" borderId="10" xfId="0" applyFont="1" applyFill="1" applyBorder="1" applyAlignment="1"/>
    <xf numFmtId="0" fontId="10" fillId="16" borderId="116" xfId="0" applyFont="1" applyFill="1" applyBorder="1" applyAlignment="1"/>
    <xf numFmtId="0" fontId="8" fillId="16" borderId="116" xfId="0" applyFont="1" applyFill="1" applyBorder="1" applyAlignment="1"/>
    <xf numFmtId="0" fontId="10" fillId="38" borderId="10" xfId="0" applyFont="1" applyFill="1" applyBorder="1" applyAlignment="1"/>
    <xf numFmtId="0" fontId="8" fillId="38" borderId="10" xfId="0" applyFont="1" applyFill="1" applyBorder="1" applyAlignment="1"/>
    <xf numFmtId="0" fontId="8" fillId="39" borderId="27" xfId="0" applyFont="1" applyFill="1" applyBorder="1" applyAlignment="1"/>
  </cellXfs>
  <cellStyles count="2">
    <cellStyle name="Hyperlink" xfId="1" xr:uid="{00000000-0005-0000-0000-000000000000}"/>
    <cellStyle name="Normal" xfId="0" builtinId="0"/>
  </cellStyles>
  <dxfs count="211">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F0"/>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F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F57C2C"/>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00B05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F57C2C"/>
        </patternFill>
      </fill>
    </dxf>
    <dxf>
      <font>
        <b/>
        <i val="0"/>
      </font>
      <fill>
        <patternFill patternType="solid">
          <bgColor rgb="FFF57C2C"/>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50"/>
        </patternFill>
      </fill>
    </dxf>
    <dxf>
      <font>
        <b/>
        <i val="0"/>
        <color rgb="FF000000"/>
      </font>
      <fill>
        <patternFill patternType="solid">
          <bgColor rgb="FFFF000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F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5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font>
      <fill>
        <patternFill patternType="solid">
          <bgColor rgb="FF00B050"/>
        </patternFill>
      </fill>
    </dxf>
    <dxf>
      <font>
        <b/>
        <i val="0"/>
      </font>
      <fill>
        <patternFill patternType="solid">
          <bgColor rgb="FFF57C2C"/>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50"/>
        </patternFill>
      </fill>
    </dxf>
    <dxf>
      <font>
        <b/>
        <i val="0"/>
      </font>
      <fill>
        <patternFill patternType="solid">
          <bgColor rgb="FFF57C2C"/>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color rgb="FF000000"/>
      </font>
      <fill>
        <patternFill patternType="solid">
          <bgColor rgb="FFFF0000"/>
        </patternFill>
      </fill>
    </dxf>
    <dxf>
      <font>
        <b/>
        <i val="0"/>
      </font>
      <fill>
        <patternFill patternType="solid">
          <bgColor rgb="FF00B0F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rgb="FFF57C2C"/>
        </patternFill>
      </fill>
    </dxf>
    <dxf>
      <font>
        <b/>
        <i val="0"/>
      </font>
      <fill>
        <patternFill patternType="solid">
          <bgColor rgb="FF00B32A"/>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50"/>
        </patternFill>
      </fill>
    </dxf>
    <dxf>
      <font>
        <b/>
        <i val="0"/>
      </font>
      <fill>
        <patternFill patternType="solid">
          <bgColor rgb="FF00B0F0"/>
        </patternFill>
      </fill>
    </dxf>
    <dxf>
      <font>
        <b/>
        <i val="0"/>
        <color rgb="FF000000"/>
      </font>
      <fill>
        <patternFill patternType="solid">
          <bgColor rgb="FFFF0000"/>
        </patternFill>
      </fill>
    </dxf>
    <dxf>
      <font>
        <b/>
        <i val="0"/>
      </font>
      <fill>
        <patternFill patternType="solid">
          <bgColor rgb="FFF57C2C"/>
        </patternFill>
      </fill>
    </dxf>
    <dxf>
      <font>
        <b/>
        <i val="0"/>
      </font>
      <fill>
        <patternFill patternType="solid">
          <bgColor rgb="FF00B0F0"/>
        </patternFill>
      </fill>
    </dxf>
    <dxf>
      <font>
        <b/>
        <i val="0"/>
      </font>
      <fill>
        <patternFill patternType="solid">
          <bgColor rgb="FF00B050"/>
        </patternFill>
      </fill>
    </dxf>
    <dxf>
      <font>
        <b/>
        <i val="0"/>
      </font>
      <fill>
        <patternFill patternType="solid">
          <bgColor rgb="FFFF0000"/>
        </patternFill>
      </fill>
    </dxf>
    <dxf>
      <font>
        <b/>
        <i val="0"/>
      </font>
      <fill>
        <patternFill patternType="solid">
          <bgColor rgb="FFF57C2C"/>
        </patternFill>
      </fill>
    </dxf>
    <dxf>
      <font>
        <b/>
        <i val="0"/>
      </font>
      <fill>
        <patternFill patternType="solid">
          <bgColor rgb="FF00B32A"/>
        </patternFill>
      </fill>
    </dxf>
    <dxf>
      <font>
        <b/>
        <i val="0"/>
      </font>
      <fill>
        <patternFill patternType="solid">
          <bgColor rgb="FF00B0F0"/>
        </patternFill>
      </fill>
    </dxf>
    <dxf>
      <font>
        <b/>
        <i val="0"/>
      </font>
      <fill>
        <patternFill patternType="solid">
          <bgColor rgb="FFFF0000"/>
        </patternFill>
      </fill>
    </dxf>
    <dxf>
      <font>
        <b/>
        <i val="0"/>
      </font>
      <fill>
        <patternFill patternType="solid">
          <bgColor rgb="FFF57C2C"/>
        </patternFill>
      </fill>
    </dxf>
    <dxf>
      <font>
        <b/>
        <i val="0"/>
      </font>
      <fill>
        <patternFill patternType="solid">
          <bgColor rgb="FF00B32A"/>
        </patternFill>
      </fill>
    </dxf>
    <dxf>
      <font>
        <b/>
        <i val="0"/>
      </font>
      <fill>
        <patternFill patternType="solid">
          <bgColor rgb="FF00B0F0"/>
        </patternFill>
      </fill>
    </dxf>
  </dxfs>
  <tableStyles count="0" defaultTableStyle="TableStyleMedium2" defaultPivotStyle="PivotStyleLight16"/>
  <colors>
    <mruColors>
      <color rgb="FFF57C2C"/>
      <color rgb="FF00B32A"/>
      <color rgb="FFDB4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QUITO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Resumen!$B$4</c:f>
              <c:strCache>
                <c:ptCount val="1"/>
                <c:pt idx="0">
                  <c:v>QUITO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F45-4582-A5F4-AB6DC05AA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F45-4582-A5F4-AB6DC05AA296}"/>
              </c:ext>
            </c:extLst>
          </c:dPt>
          <c:dLbls>
            <c:dLbl>
              <c:idx val="0"/>
              <c:layout>
                <c:manualLayout>
                  <c:x val="5.6935817805383024E-2"/>
                  <c:y val="-3.1730929711243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45-4582-A5F4-AB6DC05AA296}"/>
                </c:ext>
              </c:extLst>
            </c:dLbl>
            <c:dLbl>
              <c:idx val="1"/>
              <c:layout>
                <c:manualLayout>
                  <c:x val="-7.2463768115942032E-2"/>
                  <c:y val="1.9038557826746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45-4582-A5F4-AB6DC05AA2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Resumen!$B$5:$B$6</c:f>
              <c:strCache>
                <c:ptCount val="2"/>
                <c:pt idx="0">
                  <c:v>Total SRV Fisicos</c:v>
                </c:pt>
                <c:pt idx="1">
                  <c:v>Total SRV Virtuales</c:v>
                </c:pt>
              </c:strCache>
            </c:strRef>
          </c:cat>
          <c:val>
            <c:numRef>
              <c:f>Resumen!$C$5:$C$6</c:f>
              <c:numCache>
                <c:formatCode>General</c:formatCode>
                <c:ptCount val="2"/>
                <c:pt idx="0">
                  <c:v>26</c:v>
                </c:pt>
                <c:pt idx="1">
                  <c:v>144</c:v>
                </c:pt>
              </c:numCache>
            </c:numRef>
          </c:val>
          <c:extLst>
            <c:ext xmlns:c16="http://schemas.microsoft.com/office/drawing/2014/chart" uri="{C3380CC4-5D6E-409C-BE32-E72D297353CC}">
              <c16:uniqueId val="{00000006-0F45-4582-A5F4-AB6DC05AA2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GUAYAQUIL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Resumen!$B$10</c:f>
              <c:strCache>
                <c:ptCount val="1"/>
                <c:pt idx="0">
                  <c:v>GUAYAQUIL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5D-423E-8D52-D98857532CA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35D-423E-8D52-D98857532CA8}"/>
              </c:ext>
            </c:extLst>
          </c:dPt>
          <c:dLbls>
            <c:dLbl>
              <c:idx val="0"/>
              <c:layout>
                <c:manualLayout>
                  <c:x val="7.7519379844961239E-2"/>
                  <c:y val="-3.81497472704406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5D-423E-8D52-D98857532CA8}"/>
                </c:ext>
              </c:extLst>
            </c:dLbl>
            <c:dLbl>
              <c:idx val="1"/>
              <c:layout>
                <c:manualLayout>
                  <c:x val="-7.7519379844961239E-2"/>
                  <c:y val="3.81497472704406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5D-423E-8D52-D98857532C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Resumen!$B$11:$B$12</c:f>
              <c:strCache>
                <c:ptCount val="2"/>
                <c:pt idx="0">
                  <c:v>Total SRV Fisicos</c:v>
                </c:pt>
                <c:pt idx="1">
                  <c:v>Total SRV Virtuales</c:v>
                </c:pt>
              </c:strCache>
            </c:strRef>
          </c:cat>
          <c:val>
            <c:numRef>
              <c:f>Resumen!$C$11:$C$12</c:f>
              <c:numCache>
                <c:formatCode>General</c:formatCode>
                <c:ptCount val="2"/>
                <c:pt idx="0">
                  <c:v>25</c:v>
                </c:pt>
                <c:pt idx="1">
                  <c:v>140</c:v>
                </c:pt>
              </c:numCache>
            </c:numRef>
          </c:val>
          <c:extLst>
            <c:ext xmlns:c16="http://schemas.microsoft.com/office/drawing/2014/chart" uri="{C3380CC4-5D6E-409C-BE32-E72D297353CC}">
              <c16:uniqueId val="{00000004-235D-423E-8D52-D98857532C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SISTEMAS CRITICOS NIVEL ALTO A NIVEL NACIONAL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Resumen!$B$16</c:f>
              <c:strCache>
                <c:ptCount val="1"/>
                <c:pt idx="0">
                  <c:v>SISTEMAS CRITICOS NIVEL ALTO A NIVEL NACIONAL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9-4279-8433-552053F78046}"/>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91D9-4279-8433-552053F78046}"/>
              </c:ext>
            </c:extLst>
          </c:dPt>
          <c:dLbls>
            <c:dLbl>
              <c:idx val="0"/>
              <c:layout>
                <c:manualLayout>
                  <c:x val="2.0560267283474685E-2"/>
                  <c:y val="-9.5635506727619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D9-4279-8433-552053F78046}"/>
                </c:ext>
              </c:extLst>
            </c:dLbl>
            <c:dLbl>
              <c:idx val="1"/>
              <c:layout>
                <c:manualLayout>
                  <c:x val="-7.7101002313030118E-2"/>
                  <c:y val="5.7381304036571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D9-4279-8433-552053F780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Resumen!$B$17:$B$18</c:f>
              <c:strCache>
                <c:ptCount val="2"/>
                <c:pt idx="0">
                  <c:v>GUAYAQUIL</c:v>
                </c:pt>
                <c:pt idx="1">
                  <c:v>QUITO</c:v>
                </c:pt>
              </c:strCache>
            </c:strRef>
          </c:cat>
          <c:val>
            <c:numRef>
              <c:f>Resumen!$C$17:$C$18</c:f>
              <c:numCache>
                <c:formatCode>General</c:formatCode>
                <c:ptCount val="2"/>
                <c:pt idx="0">
                  <c:v>90</c:v>
                </c:pt>
                <c:pt idx="1">
                  <c:v>104</c:v>
                </c:pt>
              </c:numCache>
            </c:numRef>
          </c:val>
          <c:extLst>
            <c:ext xmlns:c16="http://schemas.microsoft.com/office/drawing/2014/chart" uri="{C3380CC4-5D6E-409C-BE32-E72D297353CC}">
              <c16:uniqueId val="{00000004-91D9-4279-8433-552053F7804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SERVIDORES A NIVEL NACIONAL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Resumen!$B$36</c:f>
              <c:strCache>
                <c:ptCount val="1"/>
                <c:pt idx="0">
                  <c:v>SERVIDORES A NIVEL NACIONAL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2DB-4DFB-BECA-8DFD08C5BE9D}"/>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B2DB-4DFB-BECA-8DFD08C5BE9D}"/>
              </c:ext>
            </c:extLst>
          </c:dPt>
          <c:dLbls>
            <c:dLbl>
              <c:idx val="0"/>
              <c:layout>
                <c:manualLayout>
                  <c:x val="4.6439628482972041E-2"/>
                  <c:y val="-5.7381304036571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DB-4DFB-BECA-8DFD08C5BE9D}"/>
                </c:ext>
              </c:extLst>
            </c:dLbl>
            <c:dLbl>
              <c:idx val="1"/>
              <c:layout>
                <c:manualLayout>
                  <c:x val="-6.1919504643962849E-2"/>
                  <c:y val="4.4629903139555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DB-4DFB-BECA-8DFD08C5BE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Resumen!$B$37:$B$38</c:f>
              <c:strCache>
                <c:ptCount val="2"/>
                <c:pt idx="0">
                  <c:v>Total SRV Fisicos</c:v>
                </c:pt>
                <c:pt idx="1">
                  <c:v>Total SRV Virtuales</c:v>
                </c:pt>
              </c:strCache>
            </c:strRef>
          </c:cat>
          <c:val>
            <c:numRef>
              <c:f>Resumen!$C$37:$C$38</c:f>
              <c:numCache>
                <c:formatCode>General</c:formatCode>
                <c:ptCount val="2"/>
                <c:pt idx="0">
                  <c:v>51</c:v>
                </c:pt>
                <c:pt idx="1">
                  <c:v>284</c:v>
                </c:pt>
              </c:numCache>
            </c:numRef>
          </c:val>
          <c:extLst>
            <c:ext xmlns:c16="http://schemas.microsoft.com/office/drawing/2014/chart" uri="{C3380CC4-5D6E-409C-BE32-E72D297353CC}">
              <c16:uniqueId val="{00000004-B2DB-4DFB-BECA-8DFD08C5BE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SISTEMAS CRITICOS NIVEL BAJO A NIVEL NACIONAL</a:t>
            </a:r>
          </a:p>
        </c:rich>
      </c:tx>
      <c:layout>
        <c:manualLayout>
          <c:xMode val="edge"/>
          <c:yMode val="edge"/>
          <c:x val="0.11528652938551674"/>
          <c:y val="3.5572595174359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v>SISTEMAS CRITICOS NIVEL BAJO A NIVEL NACIONAL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72-4622-AE55-8A4B0644D6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72-4622-AE55-8A4B0644D6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Resumen!$B$27:$B$28</c:f>
              <c:strCache>
                <c:ptCount val="2"/>
                <c:pt idx="0">
                  <c:v>GUAYAQUIL</c:v>
                </c:pt>
                <c:pt idx="1">
                  <c:v>QUITO</c:v>
                </c:pt>
              </c:strCache>
            </c:strRef>
          </c:cat>
          <c:val>
            <c:numRef>
              <c:f>Resumen!$C$27:$C$28</c:f>
              <c:numCache>
                <c:formatCode>General</c:formatCode>
                <c:ptCount val="2"/>
                <c:pt idx="0">
                  <c:v>23</c:v>
                </c:pt>
                <c:pt idx="1">
                  <c:v>25</c:v>
                </c:pt>
              </c:numCache>
            </c:numRef>
          </c:val>
          <c:extLst>
            <c:ext xmlns:c16="http://schemas.microsoft.com/office/drawing/2014/chart" uri="{C3380CC4-5D6E-409C-BE32-E72D297353CC}">
              <c16:uniqueId val="{00000006-2A57-4005-802E-D03281080A8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SISTEMAS CRITICOS NIVEL MEDIO A NIVEL NACIONAL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v>SISTEMAS CRITICOS NIVEL MEDIO A NIVEL NACIONAL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0A-4D51-8A14-C0067B3233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0A-4D51-8A14-C0067B3233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Resumen!$B$22:$B$23</c:f>
              <c:strCache>
                <c:ptCount val="2"/>
                <c:pt idx="0">
                  <c:v>GUAYAQUIL</c:v>
                </c:pt>
                <c:pt idx="1">
                  <c:v>QUITO</c:v>
                </c:pt>
              </c:strCache>
            </c:strRef>
          </c:cat>
          <c:val>
            <c:numRef>
              <c:f>Resumen!$C$22:$C$23</c:f>
              <c:numCache>
                <c:formatCode>General</c:formatCode>
                <c:ptCount val="2"/>
                <c:pt idx="0">
                  <c:v>33</c:v>
                </c:pt>
                <c:pt idx="1">
                  <c:v>16</c:v>
                </c:pt>
              </c:numCache>
            </c:numRef>
          </c:val>
          <c:extLst>
            <c:ext xmlns:c16="http://schemas.microsoft.com/office/drawing/2014/chart" uri="{C3380CC4-5D6E-409C-BE32-E72D297353CC}">
              <c16:uniqueId val="{0000000C-71CC-4B54-B3E3-0C3EC50E8B7F}"/>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SISTEMAS CRITICOS NIVEL DAR DE BAJA A NIVEL NACIONAL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697D-40A1-BE5B-C73557E8B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697D-40A1-BE5B-C73557E8B8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Resumen!$B$32:$B$33</c:f>
              <c:strCache>
                <c:ptCount val="2"/>
                <c:pt idx="0">
                  <c:v>GUAYAQUIL</c:v>
                </c:pt>
                <c:pt idx="1">
                  <c:v>QUITO</c:v>
                </c:pt>
              </c:strCache>
            </c:strRef>
          </c:cat>
          <c:val>
            <c:numRef>
              <c:f>Resumen!$C$32:$C$33</c:f>
              <c:numCache>
                <c:formatCode>General</c:formatCode>
                <c:ptCount val="2"/>
                <c:pt idx="0">
                  <c:v>3</c:v>
                </c:pt>
                <c:pt idx="1">
                  <c:v>0</c:v>
                </c:pt>
              </c:numCache>
            </c:numRef>
          </c:val>
          <c:extLst>
            <c:ext xmlns:c16="http://schemas.microsoft.com/office/drawing/2014/chart" uri="{C3380CC4-5D6E-409C-BE32-E72D297353CC}">
              <c16:uniqueId val="{00000008-E020-46AF-B093-0D34E9A2894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781050</xdr:colOff>
      <xdr:row>0</xdr:row>
      <xdr:rowOff>0</xdr:rowOff>
    </xdr:from>
    <xdr:to>
      <xdr:col>1</xdr:col>
      <xdr:colOff>1316133</xdr:colOff>
      <xdr:row>3</xdr:row>
      <xdr:rowOff>32039</xdr:rowOff>
    </xdr:to>
    <xdr:pic>
      <xdr:nvPicPr>
        <xdr:cNvPr id="2" name="Imagen 3">
          <a:extLst>
            <a:ext uri="{FF2B5EF4-FFF2-40B4-BE49-F238E27FC236}">
              <a16:creationId xmlns:a16="http://schemas.microsoft.com/office/drawing/2014/main" id="{CB7E1DA5-7984-4789-8695-0B512C07A974}"/>
            </a:ext>
            <a:ext uri="{147F2762-F138-4A5C-976F-8EAC2B608ADB}">
              <a16:predDERef xmlns:a16="http://schemas.microsoft.com/office/drawing/2014/main" pred="{98979C97-1F86-DE04-0899-5385F8E96868}"/>
            </a:ext>
          </a:extLst>
        </xdr:cNvPr>
        <xdr:cNvPicPr>
          <a:picLocks noChangeAspect="1"/>
        </xdr:cNvPicPr>
      </xdr:nvPicPr>
      <xdr:blipFill>
        <a:blip xmlns:r="http://schemas.openxmlformats.org/officeDocument/2006/relationships" r:embed="rId1"/>
        <a:stretch>
          <a:fillRect/>
        </a:stretch>
      </xdr:blipFill>
      <xdr:spPr>
        <a:xfrm>
          <a:off x="781050" y="0"/>
          <a:ext cx="1392333" cy="7083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0</xdr:row>
      <xdr:rowOff>9525</xdr:rowOff>
    </xdr:from>
    <xdr:to>
      <xdr:col>1</xdr:col>
      <xdr:colOff>1411605</xdr:colOff>
      <xdr:row>2</xdr:row>
      <xdr:rowOff>177165</xdr:rowOff>
    </xdr:to>
    <xdr:pic>
      <xdr:nvPicPr>
        <xdr:cNvPr id="5" name="Imagen 3">
          <a:extLst>
            <a:ext uri="{FF2B5EF4-FFF2-40B4-BE49-F238E27FC236}">
              <a16:creationId xmlns:a16="http://schemas.microsoft.com/office/drawing/2014/main" id="{69CACABC-1403-698F-1134-4646938EC445}"/>
            </a:ext>
            <a:ext uri="{147F2762-F138-4A5C-976F-8EAC2B608ADB}">
              <a16:predDERef xmlns:a16="http://schemas.microsoft.com/office/drawing/2014/main" pred="{98979C97-1F86-DE04-0899-5385F8E96868}"/>
            </a:ext>
          </a:extLst>
        </xdr:cNvPr>
        <xdr:cNvPicPr>
          <a:picLocks noChangeAspect="1"/>
        </xdr:cNvPicPr>
      </xdr:nvPicPr>
      <xdr:blipFill>
        <a:blip xmlns:r="http://schemas.openxmlformats.org/officeDocument/2006/relationships" r:embed="rId1"/>
        <a:stretch>
          <a:fillRect/>
        </a:stretch>
      </xdr:blipFill>
      <xdr:spPr>
        <a:xfrm>
          <a:off x="809625" y="9525"/>
          <a:ext cx="1228725" cy="628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438150</xdr:colOff>
      <xdr:row>0</xdr:row>
      <xdr:rowOff>9525</xdr:rowOff>
    </xdr:from>
    <xdr:to>
      <xdr:col>0</xdr:col>
      <xdr:colOff>2219325</xdr:colOff>
      <xdr:row>3</xdr:row>
      <xdr:rowOff>209550</xdr:rowOff>
    </xdr:to>
    <xdr:pic>
      <xdr:nvPicPr>
        <xdr:cNvPr id="5" name="Imagen 2">
          <a:extLst>
            <a:ext uri="{FF2B5EF4-FFF2-40B4-BE49-F238E27FC236}">
              <a16:creationId xmlns:a16="http://schemas.microsoft.com/office/drawing/2014/main" id="{4D2BD84A-96BD-455C-B172-5F72E01C6494}"/>
            </a:ext>
            <a:ext uri="{147F2762-F138-4A5C-976F-8EAC2B608ADB}">
              <a16:predDERef xmlns:a16="http://schemas.microsoft.com/office/drawing/2014/main" pred="{98979C97-1F86-DE04-0899-5385F8E96868}"/>
            </a:ext>
          </a:extLst>
        </xdr:cNvPr>
        <xdr:cNvPicPr>
          <a:picLocks noChangeAspect="1"/>
        </xdr:cNvPicPr>
      </xdr:nvPicPr>
      <xdr:blipFill>
        <a:blip xmlns:r="http://schemas.openxmlformats.org/officeDocument/2006/relationships" r:embed="rId1"/>
        <a:stretch>
          <a:fillRect/>
        </a:stretch>
      </xdr:blipFill>
      <xdr:spPr>
        <a:xfrm>
          <a:off x="438150" y="9525"/>
          <a:ext cx="1781175" cy="8953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0</xdr:row>
      <xdr:rowOff>76200</xdr:rowOff>
    </xdr:from>
    <xdr:to>
      <xdr:col>1</xdr:col>
      <xdr:colOff>929640</xdr:colOff>
      <xdr:row>3</xdr:row>
      <xdr:rowOff>0</xdr:rowOff>
    </xdr:to>
    <xdr:pic>
      <xdr:nvPicPr>
        <xdr:cNvPr id="3" name="Imagen 2">
          <a:extLst>
            <a:ext uri="{FF2B5EF4-FFF2-40B4-BE49-F238E27FC236}">
              <a16:creationId xmlns:a16="http://schemas.microsoft.com/office/drawing/2014/main" id="{6D53E5A1-64FF-4047-A8D5-189E8A18FBDD}"/>
            </a:ext>
            <a:ext uri="{147F2762-F138-4A5C-976F-8EAC2B608ADB}">
              <a16:predDERef xmlns:a16="http://schemas.microsoft.com/office/drawing/2014/main" pred="{98979C97-1F86-DE04-0899-5385F8E96868}"/>
            </a:ext>
          </a:extLst>
        </xdr:cNvPr>
        <xdr:cNvPicPr>
          <a:picLocks noChangeAspect="1"/>
        </xdr:cNvPicPr>
      </xdr:nvPicPr>
      <xdr:blipFill>
        <a:blip xmlns:r="http://schemas.openxmlformats.org/officeDocument/2006/relationships" r:embed="rId1"/>
        <a:stretch>
          <a:fillRect/>
        </a:stretch>
      </xdr:blipFill>
      <xdr:spPr>
        <a:xfrm>
          <a:off x="219075" y="76200"/>
          <a:ext cx="1228725" cy="628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641562</xdr:colOff>
      <xdr:row>2</xdr:row>
      <xdr:rowOff>185526</xdr:rowOff>
    </xdr:from>
    <xdr:to>
      <xdr:col>17</xdr:col>
      <xdr:colOff>18838</xdr:colOff>
      <xdr:row>13</xdr:row>
      <xdr:rowOff>188383</xdr:rowOff>
    </xdr:to>
    <xdr:graphicFrame macro="">
      <xdr:nvGraphicFramePr>
        <xdr:cNvPr id="2" name="Gráfico 1">
          <a:extLst>
            <a:ext uri="{FF2B5EF4-FFF2-40B4-BE49-F238E27FC236}">
              <a16:creationId xmlns:a16="http://schemas.microsoft.com/office/drawing/2014/main" id="{22BBF773-C048-423E-9EB2-65E1F22C1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324061</xdr:colOff>
      <xdr:row>2</xdr:row>
      <xdr:rowOff>189789</xdr:rowOff>
    </xdr:from>
    <xdr:to>
      <xdr:col>13</xdr:col>
      <xdr:colOff>419311</xdr:colOff>
      <xdr:row>14</xdr:row>
      <xdr:rowOff>8122</xdr:rowOff>
    </xdr:to>
    <xdr:graphicFrame macro="">
      <xdr:nvGraphicFramePr>
        <xdr:cNvPr id="3" name="Gráfico 2">
          <a:extLst>
            <a:ext uri="{FF2B5EF4-FFF2-40B4-BE49-F238E27FC236}">
              <a16:creationId xmlns:a16="http://schemas.microsoft.com/office/drawing/2014/main" id="{A517AF9B-8CC3-46CA-A94F-1B0CBE89EEE7}"/>
            </a:ext>
            <a:ext uri="{147F2762-F138-4A5C-976F-8EAC2B608ADB}">
              <a16:predDERef xmlns:a16="http://schemas.microsoft.com/office/drawing/2014/main" pred="{22BBF773-C048-423E-9EB2-65E1F22C1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214841</xdr:colOff>
      <xdr:row>18</xdr:row>
      <xdr:rowOff>158962</xdr:rowOff>
    </xdr:from>
    <xdr:to>
      <xdr:col>10</xdr:col>
      <xdr:colOff>13758</xdr:colOff>
      <xdr:row>29</xdr:row>
      <xdr:rowOff>160175</xdr:rowOff>
    </xdr:to>
    <xdr:graphicFrame macro="">
      <xdr:nvGraphicFramePr>
        <xdr:cNvPr id="4" name="Gráfico 3">
          <a:extLst>
            <a:ext uri="{FF2B5EF4-FFF2-40B4-BE49-F238E27FC236}">
              <a16:creationId xmlns:a16="http://schemas.microsoft.com/office/drawing/2014/main" id="{884961FE-AD4C-4DA9-A3C0-4B2888B5DEFC}"/>
            </a:ext>
            <a:ext uri="{147F2762-F138-4A5C-976F-8EAC2B608ADB}">
              <a16:predDERef xmlns:a16="http://schemas.microsoft.com/office/drawing/2014/main" pred="{A517AF9B-8CC3-46CA-A94F-1B0CBE89E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229022</xdr:colOff>
      <xdr:row>0</xdr:row>
      <xdr:rowOff>1</xdr:rowOff>
    </xdr:from>
    <xdr:to>
      <xdr:col>10</xdr:col>
      <xdr:colOff>355599</xdr:colOff>
      <xdr:row>15</xdr:row>
      <xdr:rowOff>6295</xdr:rowOff>
    </xdr:to>
    <xdr:graphicFrame macro="">
      <xdr:nvGraphicFramePr>
        <xdr:cNvPr id="5" name="Gráfico 4">
          <a:extLst>
            <a:ext uri="{FF2B5EF4-FFF2-40B4-BE49-F238E27FC236}">
              <a16:creationId xmlns:a16="http://schemas.microsoft.com/office/drawing/2014/main" id="{F5C483E0-1BF9-497F-A118-5B789C0C4636}"/>
            </a:ext>
            <a:ext uri="{147F2762-F138-4A5C-976F-8EAC2B608ADB}">
              <a16:predDERef xmlns:a16="http://schemas.microsoft.com/office/drawing/2014/main" pred="{884961FE-AD4C-4DA9-A3C0-4B2888B5D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352425</xdr:colOff>
      <xdr:row>18</xdr:row>
      <xdr:rowOff>152400</xdr:rowOff>
    </xdr:from>
    <xdr:to>
      <xdr:col>16</xdr:col>
      <xdr:colOff>446617</xdr:colOff>
      <xdr:row>29</xdr:row>
      <xdr:rowOff>153613</xdr:rowOff>
    </xdr:to>
    <xdr:graphicFrame macro="">
      <xdr:nvGraphicFramePr>
        <xdr:cNvPr id="7" name="Gráfico 6">
          <a:extLst>
            <a:ext uri="{FF2B5EF4-FFF2-40B4-BE49-F238E27FC236}">
              <a16:creationId xmlns:a16="http://schemas.microsoft.com/office/drawing/2014/main" id="{F87EE008-64CD-426A-AEB7-2F5883045783}"/>
            </a:ext>
            <a:ext uri="{147F2762-F138-4A5C-976F-8EAC2B608ADB}">
              <a16:predDERef xmlns:a16="http://schemas.microsoft.com/office/drawing/2014/main" pred="{F5C483E0-1BF9-497F-A118-5B789C0C4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133350</xdr:colOff>
      <xdr:row>18</xdr:row>
      <xdr:rowOff>161925</xdr:rowOff>
    </xdr:from>
    <xdr:to>
      <xdr:col>13</xdr:col>
      <xdr:colOff>227542</xdr:colOff>
      <xdr:row>29</xdr:row>
      <xdr:rowOff>163138</xdr:rowOff>
    </xdr:to>
    <xdr:graphicFrame macro="">
      <xdr:nvGraphicFramePr>
        <xdr:cNvPr id="9" name="Gráfico 8">
          <a:extLst>
            <a:ext uri="{FF2B5EF4-FFF2-40B4-BE49-F238E27FC236}">
              <a16:creationId xmlns:a16="http://schemas.microsoft.com/office/drawing/2014/main" id="{4995348B-E506-4CD8-915F-A606C7941C2E}"/>
            </a:ext>
            <a:ext uri="{147F2762-F138-4A5C-976F-8EAC2B608ADB}">
              <a16:predDERef xmlns:a16="http://schemas.microsoft.com/office/drawing/2014/main" pred="{F87EE008-64CD-426A-AEB7-2F5883045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542925</xdr:colOff>
      <xdr:row>18</xdr:row>
      <xdr:rowOff>133350</xdr:rowOff>
    </xdr:from>
    <xdr:to>
      <xdr:col>19</xdr:col>
      <xdr:colOff>637117</xdr:colOff>
      <xdr:row>29</xdr:row>
      <xdr:rowOff>134563</xdr:rowOff>
    </xdr:to>
    <xdr:graphicFrame macro="">
      <xdr:nvGraphicFramePr>
        <xdr:cNvPr id="6" name="Gráfico 5">
          <a:extLst>
            <a:ext uri="{FF2B5EF4-FFF2-40B4-BE49-F238E27FC236}">
              <a16:creationId xmlns:a16="http://schemas.microsoft.com/office/drawing/2014/main" id="{29B7CA69-646F-4B41-B5C0-88910D43FC10}"/>
            </a:ext>
            <a:ext uri="{147F2762-F138-4A5C-976F-8EAC2B608ADB}">
              <a16:predDERef xmlns:a16="http://schemas.microsoft.com/office/drawing/2014/main" pred="{4995348B-E506-4CD8-915F-A606C7941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Yurema Tobar TI" id="{23F10B96-0E5B-4453-B67B-E640D54F30EB}" userId="S::ytobar@xtrim.com.ec::f3504382-f348-4f41-8f4f-9835600b735c"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4-06-20T19:33:00.42" personId="{23F10B96-0E5B-4453-B67B-E640D54F30EB}" id="{EAA5B6C3-E6A2-4359-A38C-9B9BC4F99605}">
    <text>no deja registrar este servidor por un error de los paquetes antiguos de python.</text>
  </threadedComment>
  <threadedComment ref="C17" dT="2024-06-20T19:37:39.93" personId="{23F10B96-0E5B-4453-B67B-E640D54F30EB}" id="{E503A8A7-B47C-4216-8FE3-D488048B4ADF}">
    <text>no deja registrar este servidor por un error de los paquetes antiguos de python.</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192.168.21.37:8000/portal/?5C7565EF" TargetMode="External"/><Relationship Id="rId7" Type="http://schemas.openxmlformats.org/officeDocument/2006/relationships/hyperlink" Target="http://192.168.21.135:8000/portal/?57DB386C" TargetMode="External"/><Relationship Id="rId2" Type="http://schemas.openxmlformats.org/officeDocument/2006/relationships/hyperlink" Target="http://192.168.21.136:5000/webman/index.cgi" TargetMode="External"/><Relationship Id="rId1" Type="http://schemas.openxmlformats.org/officeDocument/2006/relationships/hyperlink" Target="http://192.168.21.106:8000/portal/index.cgi" TargetMode="External"/><Relationship Id="rId6" Type="http://schemas.openxmlformats.org/officeDocument/2006/relationships/hyperlink" Target="http://192.168.21.153:5000/webman/index.cgi" TargetMode="External"/><Relationship Id="rId5" Type="http://schemas.openxmlformats.org/officeDocument/2006/relationships/hyperlink" Target="https://192.168.21.98/fusion/resources/window.html?locale=en" TargetMode="External"/><Relationship Id="rId4" Type="http://schemas.openxmlformats.org/officeDocument/2006/relationships/hyperlink" Target="http://192.168.21.29:8000/portal/?5B50BB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192.168.21.37:8000/portal/?5C7565EF" TargetMode="External"/><Relationship Id="rId7" Type="http://schemas.openxmlformats.org/officeDocument/2006/relationships/drawing" Target="../drawings/drawing2.xml"/><Relationship Id="rId2" Type="http://schemas.openxmlformats.org/officeDocument/2006/relationships/hyperlink" Target="http://192.168.21.136:5000/webman/index.cgi" TargetMode="External"/><Relationship Id="rId1" Type="http://schemas.openxmlformats.org/officeDocument/2006/relationships/hyperlink" Target="http://192.168.21.106:8000/portal/index.cgi" TargetMode="External"/><Relationship Id="rId6" Type="http://schemas.openxmlformats.org/officeDocument/2006/relationships/printerSettings" Target="../printerSettings/printerSettings2.bin"/><Relationship Id="rId5" Type="http://schemas.openxmlformats.org/officeDocument/2006/relationships/hyperlink" Target="https://192.168.21.98/fusion/resources/window.html?locale=en" TargetMode="External"/><Relationship Id="rId4" Type="http://schemas.openxmlformats.org/officeDocument/2006/relationships/hyperlink" Target="http://192.168.21.29:8000/portal/?5B50BB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2"/>
  <sheetViews>
    <sheetView topLeftCell="I37" zoomScale="82" zoomScaleNormal="82" workbookViewId="0">
      <selection activeCell="M55" sqref="M55"/>
    </sheetView>
  </sheetViews>
  <sheetFormatPr defaultColWidth="9.140625" defaultRowHeight="15" customHeight="1"/>
  <cols>
    <col min="1" max="1" width="12.85546875" customWidth="1"/>
    <col min="2" max="2" width="24" style="1" customWidth="1"/>
    <col min="3" max="3" width="30.5703125" style="1" customWidth="1"/>
    <col min="4" max="4" width="14.5703125" style="1" customWidth="1"/>
    <col min="5" max="5" width="28.140625" style="1" customWidth="1"/>
    <col min="6" max="6" width="12.5703125" style="1" customWidth="1"/>
    <col min="7" max="7" width="29.140625" style="1" customWidth="1"/>
    <col min="8" max="8" width="18.5703125" style="1" customWidth="1"/>
    <col min="9" max="9" width="20" style="31" customWidth="1"/>
    <col min="10" max="10" width="16.5703125" style="31" customWidth="1"/>
    <col min="11" max="11" width="33" style="325" customWidth="1"/>
    <col min="12" max="12" width="63" style="327" customWidth="1"/>
    <col min="13" max="13" width="19.42578125" style="325" customWidth="1"/>
    <col min="14" max="14" width="14.85546875" style="325" customWidth="1"/>
    <col min="15" max="15" width="17.85546875" style="325" customWidth="1"/>
    <col min="16" max="16" width="12.140625" style="325" customWidth="1"/>
    <col min="17" max="17" width="33.5703125" style="325" customWidth="1"/>
    <col min="18" max="18" width="9.140625" style="314" customWidth="1"/>
    <col min="19" max="19" width="41.140625" style="325" customWidth="1"/>
    <col min="20" max="20" width="10.5703125" style="314" customWidth="1"/>
    <col min="21" max="21" width="12.140625" style="326" customWidth="1"/>
    <col min="22" max="22" width="15" style="314" customWidth="1"/>
    <col min="23" max="23" width="19" style="326" customWidth="1"/>
    <col min="24" max="24" width="16.5703125" style="326" customWidth="1"/>
    <col min="25" max="25" width="7.28515625" style="314" customWidth="1"/>
    <col min="26" max="26" width="11" style="314" customWidth="1"/>
    <col min="27" max="27" width="10.5703125" style="325" customWidth="1"/>
    <col min="28" max="28" width="9.28515625" style="325" customWidth="1"/>
    <col min="29" max="29" width="18" style="730" customWidth="1"/>
    <col min="30" max="30" width="12.42578125" customWidth="1"/>
    <col min="31" max="31" width="33.42578125" style="1177" customWidth="1"/>
  </cols>
  <sheetData>
    <row r="1" spans="1:31" ht="15.75">
      <c r="A1" s="1587"/>
      <c r="B1" s="1587"/>
      <c r="C1" s="1587"/>
      <c r="D1" s="18"/>
      <c r="E1" s="18"/>
      <c r="F1" s="18"/>
      <c r="G1" s="18"/>
      <c r="H1" s="18"/>
      <c r="I1" s="1046"/>
      <c r="J1" s="1046"/>
      <c r="K1" s="340"/>
      <c r="L1" s="532"/>
      <c r="M1" s="340"/>
      <c r="N1" s="340"/>
      <c r="O1" s="340"/>
      <c r="P1" s="340"/>
      <c r="Q1" s="340"/>
      <c r="R1" s="340"/>
      <c r="S1" s="340"/>
      <c r="T1" s="340"/>
      <c r="U1" s="532"/>
      <c r="V1" s="340"/>
      <c r="W1" s="532"/>
      <c r="X1" s="532"/>
      <c r="Y1" s="340"/>
      <c r="Z1" s="340"/>
      <c r="AA1" s="340"/>
      <c r="AB1" s="340"/>
      <c r="AC1" s="713"/>
      <c r="AE1" s="327"/>
    </row>
    <row r="2" spans="1:31" ht="18.75" customHeight="1">
      <c r="A2" s="1587"/>
      <c r="B2" s="1587"/>
      <c r="C2" s="1587"/>
      <c r="D2" s="18"/>
      <c r="E2" s="18"/>
      <c r="F2" s="18"/>
      <c r="G2" s="18"/>
      <c r="H2" s="18"/>
      <c r="I2" s="18"/>
      <c r="J2" s="1582" t="s">
        <v>0</v>
      </c>
      <c r="K2" s="1582"/>
      <c r="L2" s="1582"/>
      <c r="M2" s="1582"/>
      <c r="N2" s="1582"/>
      <c r="O2" s="1582"/>
      <c r="P2" s="1582"/>
      <c r="Q2" s="1582"/>
      <c r="R2" s="33"/>
      <c r="S2" s="340"/>
      <c r="T2" s="340"/>
      <c r="U2" s="340"/>
      <c r="V2" s="340"/>
      <c r="W2" s="532"/>
      <c r="X2" s="532"/>
      <c r="Y2" s="340"/>
      <c r="Z2" s="340"/>
      <c r="AA2" s="340"/>
      <c r="AB2" s="340"/>
      <c r="AC2" s="713"/>
      <c r="AE2" s="327"/>
    </row>
    <row r="3" spans="1:31" ht="18.75" customHeight="1">
      <c r="A3" s="1587"/>
      <c r="B3" s="1587"/>
      <c r="C3" s="1587"/>
      <c r="D3" s="33"/>
      <c r="E3" s="33"/>
      <c r="F3" s="33"/>
      <c r="G3" s="33"/>
      <c r="H3" s="33"/>
      <c r="I3" s="33"/>
      <c r="J3" s="33"/>
      <c r="K3" s="341"/>
      <c r="L3" s="342"/>
      <c r="M3" s="341"/>
      <c r="N3" s="341"/>
      <c r="O3" s="341"/>
      <c r="P3" s="341"/>
      <c r="Q3" s="341"/>
      <c r="R3" s="341"/>
      <c r="S3" s="341"/>
      <c r="T3" s="341"/>
      <c r="U3" s="341"/>
      <c r="V3" s="341"/>
      <c r="W3" s="342"/>
      <c r="X3" s="342"/>
      <c r="Y3" s="341"/>
      <c r="Z3" s="341"/>
      <c r="AA3" s="341"/>
      <c r="AB3" s="341"/>
      <c r="AC3" s="712"/>
      <c r="AE3" s="327"/>
    </row>
    <row r="4" spans="1:31" ht="15.75">
      <c r="A4" s="1587"/>
      <c r="B4" s="1587"/>
      <c r="C4" s="1587"/>
      <c r="D4" s="18"/>
      <c r="E4" s="18"/>
      <c r="F4" s="18"/>
      <c r="G4" s="33"/>
      <c r="H4" s="33"/>
      <c r="I4" s="35"/>
      <c r="J4" s="35"/>
      <c r="K4" s="340"/>
      <c r="L4" s="532"/>
      <c r="M4" s="340"/>
      <c r="N4" s="340"/>
      <c r="O4" s="340"/>
      <c r="P4" s="340"/>
      <c r="Q4" s="340"/>
      <c r="R4" s="341"/>
      <c r="S4" s="340"/>
      <c r="T4" s="341"/>
      <c r="U4" s="342"/>
      <c r="V4" s="341"/>
      <c r="W4" s="342"/>
      <c r="X4" s="342"/>
      <c r="Y4" s="341"/>
      <c r="Z4" s="341"/>
      <c r="AA4" s="340"/>
      <c r="AB4" s="340"/>
      <c r="AC4" s="712"/>
      <c r="AE4" s="327"/>
    </row>
    <row r="5" spans="1:31" ht="18.75">
      <c r="A5" s="983" t="s">
        <v>1</v>
      </c>
      <c r="B5" s="34"/>
      <c r="C5" s="34"/>
      <c r="D5" s="34"/>
      <c r="E5" s="34"/>
      <c r="F5" s="33"/>
      <c r="G5" s="33"/>
      <c r="H5" s="34" t="s">
        <v>2</v>
      </c>
      <c r="I5" s="36"/>
      <c r="J5" s="36"/>
      <c r="K5" s="306"/>
      <c r="L5" s="532"/>
      <c r="M5" s="340"/>
      <c r="N5" s="340"/>
      <c r="O5" s="340"/>
      <c r="P5" s="340"/>
      <c r="Q5" s="340"/>
      <c r="R5" s="341"/>
      <c r="S5" s="340"/>
      <c r="T5" s="341"/>
      <c r="U5" s="342"/>
      <c r="V5" s="341"/>
      <c r="W5" s="342"/>
      <c r="X5" s="342"/>
      <c r="Y5" s="341"/>
      <c r="Z5" s="341"/>
      <c r="AA5" s="340"/>
      <c r="AB5" s="340"/>
      <c r="AC5" s="712"/>
      <c r="AE5" s="327"/>
    </row>
    <row r="6" spans="1:31" ht="15" customHeight="1" thickBot="1">
      <c r="AE6" s="327"/>
    </row>
    <row r="7" spans="1:31" s="198" customFormat="1" ht="44.25" customHeight="1">
      <c r="A7" s="301" t="s">
        <v>3</v>
      </c>
      <c r="B7" s="302" t="s">
        <v>4</v>
      </c>
      <c r="C7" s="302" t="s">
        <v>5</v>
      </c>
      <c r="D7" s="302" t="s">
        <v>6</v>
      </c>
      <c r="E7" s="302" t="s">
        <v>7</v>
      </c>
      <c r="F7" s="302" t="s">
        <v>8</v>
      </c>
      <c r="G7" s="302" t="s">
        <v>9</v>
      </c>
      <c r="H7" s="302" t="s">
        <v>10</v>
      </c>
      <c r="I7" s="302" t="s">
        <v>11</v>
      </c>
      <c r="J7" s="302" t="s">
        <v>12</v>
      </c>
      <c r="K7" s="307" t="s">
        <v>13</v>
      </c>
      <c r="L7" s="307" t="s">
        <v>14</v>
      </c>
      <c r="M7" s="307" t="s">
        <v>15</v>
      </c>
      <c r="N7" s="307" t="s">
        <v>16</v>
      </c>
      <c r="O7" s="674" t="s">
        <v>17</v>
      </c>
      <c r="P7" s="674" t="s">
        <v>18</v>
      </c>
      <c r="Q7" s="307" t="s">
        <v>19</v>
      </c>
      <c r="R7" s="308" t="s">
        <v>20</v>
      </c>
      <c r="S7" s="307" t="s">
        <v>21</v>
      </c>
      <c r="T7" s="308" t="s">
        <v>22</v>
      </c>
      <c r="U7" s="308" t="s">
        <v>23</v>
      </c>
      <c r="V7" s="308" t="s">
        <v>24</v>
      </c>
      <c r="W7" s="308" t="s">
        <v>25</v>
      </c>
      <c r="X7" s="539" t="s">
        <v>26</v>
      </c>
      <c r="Y7" s="309" t="s">
        <v>27</v>
      </c>
      <c r="Z7" s="309" t="s">
        <v>28</v>
      </c>
      <c r="AA7" s="307" t="s">
        <v>29</v>
      </c>
      <c r="AB7" s="535" t="s">
        <v>30</v>
      </c>
      <c r="AC7" s="308" t="s">
        <v>31</v>
      </c>
      <c r="AD7" s="1175" t="s">
        <v>32</v>
      </c>
      <c r="AE7" s="1182" t="s">
        <v>33</v>
      </c>
    </row>
    <row r="8" spans="1:31" s="109" customFormat="1" ht="76.5">
      <c r="A8" s="1588" t="s">
        <v>34</v>
      </c>
      <c r="B8" s="1218" t="s">
        <v>35</v>
      </c>
      <c r="C8" s="1013" t="s">
        <v>36</v>
      </c>
      <c r="D8" s="1014" t="s">
        <v>37</v>
      </c>
      <c r="E8" s="1015" t="s">
        <v>38</v>
      </c>
      <c r="F8" s="1462">
        <v>4</v>
      </c>
      <c r="G8" s="1015" t="s">
        <v>39</v>
      </c>
      <c r="H8" s="1166" t="s">
        <v>40</v>
      </c>
      <c r="I8" s="1461">
        <f>COUNTIF(J9:J97,"=VIRTUAL")</f>
        <v>89</v>
      </c>
      <c r="J8" s="267" t="s">
        <v>41</v>
      </c>
      <c r="K8" s="1034" t="s">
        <v>42</v>
      </c>
      <c r="L8" s="1019" t="s">
        <v>43</v>
      </c>
      <c r="M8" s="1043" t="s">
        <v>44</v>
      </c>
      <c r="N8" s="1042" t="s">
        <v>45</v>
      </c>
      <c r="O8" s="1022" t="s">
        <v>46</v>
      </c>
      <c r="P8" s="1022" t="s">
        <v>46</v>
      </c>
      <c r="Q8" s="1023" t="s">
        <v>47</v>
      </c>
      <c r="R8" s="97" t="s">
        <v>48</v>
      </c>
      <c r="S8" s="1019" t="s">
        <v>49</v>
      </c>
      <c r="T8" s="1035">
        <v>8</v>
      </c>
      <c r="U8" s="1035">
        <v>150</v>
      </c>
      <c r="V8" s="1035">
        <v>8</v>
      </c>
      <c r="W8" s="423" t="s">
        <v>50</v>
      </c>
      <c r="X8" s="267" t="s">
        <v>51</v>
      </c>
      <c r="Y8" s="278" t="s">
        <v>52</v>
      </c>
      <c r="Z8" s="267" t="s">
        <v>52</v>
      </c>
      <c r="AA8" s="1027"/>
      <c r="AB8" s="18"/>
      <c r="AC8" s="1128" t="s">
        <v>40</v>
      </c>
      <c r="AD8" s="109" t="s">
        <v>53</v>
      </c>
      <c r="AE8" s="1192" t="s">
        <v>54</v>
      </c>
    </row>
    <row r="9" spans="1:31" ht="76.5">
      <c r="A9" s="1589"/>
      <c r="B9" s="1218" t="s">
        <v>55</v>
      </c>
      <c r="C9" s="1013" t="s">
        <v>56</v>
      </c>
      <c r="D9" s="1014" t="s">
        <v>57</v>
      </c>
      <c r="E9" s="1015" t="s">
        <v>58</v>
      </c>
      <c r="F9" s="1463"/>
      <c r="G9" s="1015" t="s">
        <v>39</v>
      </c>
      <c r="H9" s="1017" t="s">
        <v>40</v>
      </c>
      <c r="I9" s="1461"/>
      <c r="J9" s="267" t="s">
        <v>41</v>
      </c>
      <c r="K9" s="1018" t="s">
        <v>59</v>
      </c>
      <c r="L9" s="1019" t="s">
        <v>60</v>
      </c>
      <c r="M9" s="1020" t="s">
        <v>61</v>
      </c>
      <c r="N9" s="1021" t="s">
        <v>62</v>
      </c>
      <c r="O9" s="1022" t="s">
        <v>48</v>
      </c>
      <c r="P9" s="1022" t="s">
        <v>48</v>
      </c>
      <c r="Q9" s="1023" t="s">
        <v>63</v>
      </c>
      <c r="R9" s="97" t="s">
        <v>40</v>
      </c>
      <c r="S9" s="95" t="s">
        <v>64</v>
      </c>
      <c r="T9" s="1024">
        <v>92</v>
      </c>
      <c r="U9" s="1025">
        <v>209.96</v>
      </c>
      <c r="V9" s="1025">
        <v>8</v>
      </c>
      <c r="W9" s="423" t="s">
        <v>65</v>
      </c>
      <c r="X9" s="267" t="s">
        <v>51</v>
      </c>
      <c r="Y9" s="1026" t="s">
        <v>52</v>
      </c>
      <c r="Z9" s="74" t="s">
        <v>52</v>
      </c>
      <c r="AA9" s="18"/>
      <c r="AB9" s="1146"/>
      <c r="AC9" s="1172" t="s">
        <v>66</v>
      </c>
      <c r="AD9" s="2" t="s">
        <v>46</v>
      </c>
      <c r="AE9" s="1183" t="s">
        <v>66</v>
      </c>
    </row>
    <row r="10" spans="1:31" ht="76.5">
      <c r="A10" s="1589"/>
      <c r="B10" s="1218" t="s">
        <v>67</v>
      </c>
      <c r="C10" s="1013" t="s">
        <v>68</v>
      </c>
      <c r="D10" s="1014" t="s">
        <v>69</v>
      </c>
      <c r="E10" s="1015" t="s">
        <v>70</v>
      </c>
      <c r="F10" s="1463"/>
      <c r="G10" s="1015" t="s">
        <v>71</v>
      </c>
      <c r="H10" s="1017" t="s">
        <v>40</v>
      </c>
      <c r="I10" s="1461"/>
      <c r="J10" s="267" t="s">
        <v>41</v>
      </c>
      <c r="K10" s="1029" t="s">
        <v>72</v>
      </c>
      <c r="L10" s="1019" t="s">
        <v>60</v>
      </c>
      <c r="M10" s="1020" t="s">
        <v>73</v>
      </c>
      <c r="N10" s="1021" t="s">
        <v>62</v>
      </c>
      <c r="O10" s="1022" t="s">
        <v>48</v>
      </c>
      <c r="P10" s="1022" t="s">
        <v>48</v>
      </c>
      <c r="Q10" s="1023" t="s">
        <v>63</v>
      </c>
      <c r="R10" s="97" t="s">
        <v>40</v>
      </c>
      <c r="S10" s="95" t="s">
        <v>64</v>
      </c>
      <c r="T10" s="1024">
        <v>92</v>
      </c>
      <c r="U10" s="1025">
        <v>209.96</v>
      </c>
      <c r="V10" s="1025">
        <v>8</v>
      </c>
      <c r="W10" s="423" t="s">
        <v>65</v>
      </c>
      <c r="X10" s="267" t="s">
        <v>51</v>
      </c>
      <c r="Y10" s="1026" t="s">
        <v>52</v>
      </c>
      <c r="Z10" s="74" t="s">
        <v>52</v>
      </c>
      <c r="AA10" s="18"/>
      <c r="AB10" s="1179"/>
      <c r="AC10" s="1180" t="s">
        <v>66</v>
      </c>
      <c r="AD10" s="1181" t="s">
        <v>46</v>
      </c>
      <c r="AE10" s="1183" t="s">
        <v>66</v>
      </c>
    </row>
    <row r="11" spans="1:31" ht="51.75" customHeight="1">
      <c r="A11" s="1589"/>
      <c r="B11" s="1218" t="s">
        <v>74</v>
      </c>
      <c r="C11" s="1030" t="s">
        <v>68</v>
      </c>
      <c r="D11" s="1031" t="s">
        <v>75</v>
      </c>
      <c r="E11" s="1016" t="s">
        <v>76</v>
      </c>
      <c r="F11" s="1464"/>
      <c r="G11" s="1016" t="s">
        <v>71</v>
      </c>
      <c r="H11" s="1032" t="s">
        <v>40</v>
      </c>
      <c r="I11" s="1461"/>
      <c r="J11" s="267" t="s">
        <v>41</v>
      </c>
      <c r="K11" s="1029" t="s">
        <v>77</v>
      </c>
      <c r="L11" s="1019" t="s">
        <v>60</v>
      </c>
      <c r="M11" s="1020" t="s">
        <v>78</v>
      </c>
      <c r="N11" s="1021" t="s">
        <v>62</v>
      </c>
      <c r="O11" s="1022" t="s">
        <v>48</v>
      </c>
      <c r="P11" s="1022" t="s">
        <v>48</v>
      </c>
      <c r="Q11" s="1023" t="s">
        <v>63</v>
      </c>
      <c r="R11" s="97" t="s">
        <v>40</v>
      </c>
      <c r="S11" s="95" t="s">
        <v>64</v>
      </c>
      <c r="T11" s="1024">
        <v>92</v>
      </c>
      <c r="U11" s="1025">
        <v>209.96</v>
      </c>
      <c r="V11" s="1025">
        <v>8</v>
      </c>
      <c r="W11" s="423" t="s">
        <v>65</v>
      </c>
      <c r="X11" s="267" t="s">
        <v>51</v>
      </c>
      <c r="Y11" s="1026" t="s">
        <v>52</v>
      </c>
      <c r="Z11" s="75" t="s">
        <v>52</v>
      </c>
      <c r="AA11" s="1146"/>
      <c r="AB11" s="1146"/>
      <c r="AC11" s="1172" t="s">
        <v>66</v>
      </c>
      <c r="AD11" s="2" t="s">
        <v>46</v>
      </c>
      <c r="AE11" s="1183" t="s">
        <v>66</v>
      </c>
    </row>
    <row r="12" spans="1:31" ht="31.35" customHeight="1">
      <c r="A12" s="1589"/>
      <c r="B12" s="1033"/>
      <c r="F12" s="1033"/>
      <c r="I12" s="1461"/>
      <c r="J12" s="267" t="s">
        <v>41</v>
      </c>
      <c r="K12" s="1029" t="s">
        <v>79</v>
      </c>
      <c r="L12" s="1019" t="s">
        <v>60</v>
      </c>
      <c r="M12" s="1020" t="s">
        <v>80</v>
      </c>
      <c r="N12" s="1021" t="s">
        <v>62</v>
      </c>
      <c r="O12" s="1022" t="s">
        <v>48</v>
      </c>
      <c r="P12" s="1022" t="s">
        <v>48</v>
      </c>
      <c r="Q12" s="1023" t="s">
        <v>63</v>
      </c>
      <c r="R12" s="98" t="s">
        <v>40</v>
      </c>
      <c r="S12" s="95" t="s">
        <v>64</v>
      </c>
      <c r="T12" s="1024">
        <v>92</v>
      </c>
      <c r="U12" s="1025">
        <v>209.96</v>
      </c>
      <c r="V12" s="1025">
        <v>8</v>
      </c>
      <c r="W12" s="423" t="s">
        <v>65</v>
      </c>
      <c r="X12" s="267" t="s">
        <v>51</v>
      </c>
      <c r="Y12" s="1026" t="s">
        <v>52</v>
      </c>
      <c r="Z12" s="75" t="s">
        <v>52</v>
      </c>
      <c r="AA12" s="1146"/>
      <c r="AB12" s="1146"/>
      <c r="AC12" s="1172" t="s">
        <v>66</v>
      </c>
      <c r="AD12" s="2" t="s">
        <v>46</v>
      </c>
      <c r="AE12" s="1183" t="s">
        <v>66</v>
      </c>
    </row>
    <row r="13" spans="1:31" ht="15.6" customHeight="1">
      <c r="A13" s="1589"/>
      <c r="B13" s="33" t="s">
        <v>62</v>
      </c>
      <c r="C13" s="33" t="s">
        <v>62</v>
      </c>
      <c r="D13" s="33"/>
      <c r="E13" s="33"/>
      <c r="F13" s="33" t="s">
        <v>62</v>
      </c>
      <c r="G13" s="33" t="s">
        <v>62</v>
      </c>
      <c r="H13" s="33" t="s">
        <v>62</v>
      </c>
      <c r="I13" s="1461"/>
      <c r="J13" s="267" t="s">
        <v>41</v>
      </c>
      <c r="K13" s="20" t="s">
        <v>81</v>
      </c>
      <c r="L13" s="1034" t="s">
        <v>82</v>
      </c>
      <c r="M13" s="1020" t="s">
        <v>83</v>
      </c>
      <c r="N13" s="1021" t="s">
        <v>62</v>
      </c>
      <c r="O13" s="1035" t="s">
        <v>40</v>
      </c>
      <c r="P13" s="1035" t="s">
        <v>46</v>
      </c>
      <c r="Q13" s="1036" t="s">
        <v>84</v>
      </c>
      <c r="R13" s="1022" t="s">
        <v>40</v>
      </c>
      <c r="S13" s="95" t="s">
        <v>85</v>
      </c>
      <c r="T13" s="1024">
        <v>16</v>
      </c>
      <c r="U13" s="1025">
        <v>350</v>
      </c>
      <c r="V13" s="1025">
        <v>4</v>
      </c>
      <c r="W13" s="423" t="s">
        <v>86</v>
      </c>
      <c r="X13" s="267" t="s">
        <v>51</v>
      </c>
      <c r="Y13" s="74" t="s">
        <v>52</v>
      </c>
      <c r="Z13" s="75" t="s">
        <v>52</v>
      </c>
      <c r="AA13" s="1146"/>
      <c r="AB13" s="1146"/>
      <c r="AC13" s="1172" t="s">
        <v>40</v>
      </c>
      <c r="AD13" s="2" t="s">
        <v>53</v>
      </c>
      <c r="AE13" s="1184" t="s">
        <v>87</v>
      </c>
    </row>
    <row r="14" spans="1:31" ht="15.6" customHeight="1">
      <c r="A14" s="1589"/>
      <c r="B14" s="33"/>
      <c r="C14" s="33"/>
      <c r="D14" s="33"/>
      <c r="E14" s="33"/>
      <c r="F14" s="33"/>
      <c r="G14" s="33"/>
      <c r="H14" s="33"/>
      <c r="I14" s="1461"/>
      <c r="J14" s="267" t="s">
        <v>41</v>
      </c>
      <c r="K14" s="20" t="s">
        <v>88</v>
      </c>
      <c r="L14" s="1019" t="s">
        <v>89</v>
      </c>
      <c r="M14" s="1020" t="s">
        <v>90</v>
      </c>
      <c r="N14" s="21" t="s">
        <v>91</v>
      </c>
      <c r="O14" s="1037" t="s">
        <v>40</v>
      </c>
      <c r="P14" s="1037" t="s">
        <v>46</v>
      </c>
      <c r="Q14" s="1023" t="s">
        <v>63</v>
      </c>
      <c r="R14" s="274" t="s">
        <v>40</v>
      </c>
      <c r="S14" s="20" t="s">
        <v>85</v>
      </c>
      <c r="T14" s="74">
        <v>20</v>
      </c>
      <c r="U14" s="74">
        <v>150</v>
      </c>
      <c r="V14" s="74">
        <v>4</v>
      </c>
      <c r="W14" s="423" t="s">
        <v>50</v>
      </c>
      <c r="X14" s="267" t="s">
        <v>51</v>
      </c>
      <c r="Y14" s="1026" t="s">
        <v>52</v>
      </c>
      <c r="Z14" s="75" t="s">
        <v>52</v>
      </c>
      <c r="AA14" s="1146"/>
      <c r="AB14" s="1146"/>
      <c r="AC14" s="1172" t="s">
        <v>40</v>
      </c>
      <c r="AD14" s="2" t="s">
        <v>53</v>
      </c>
      <c r="AE14" s="1185" t="s">
        <v>87</v>
      </c>
    </row>
    <row r="15" spans="1:31" ht="15.6" customHeight="1">
      <c r="A15" s="1589"/>
      <c r="B15" s="33"/>
      <c r="C15" s="33"/>
      <c r="D15" s="33"/>
      <c r="E15" s="33"/>
      <c r="F15" s="33"/>
      <c r="G15" s="33"/>
      <c r="H15" s="33"/>
      <c r="I15" s="1461"/>
      <c r="J15" s="267" t="s">
        <v>41</v>
      </c>
      <c r="K15" s="20" t="s">
        <v>92</v>
      </c>
      <c r="L15" s="1019" t="s">
        <v>93</v>
      </c>
      <c r="M15" s="1020" t="s">
        <v>94</v>
      </c>
      <c r="N15" s="1021"/>
      <c r="O15" s="1037" t="s">
        <v>40</v>
      </c>
      <c r="P15" s="1037" t="s">
        <v>46</v>
      </c>
      <c r="Q15" s="1023" t="s">
        <v>63</v>
      </c>
      <c r="R15" s="74" t="s">
        <v>40</v>
      </c>
      <c r="S15" s="20" t="s">
        <v>85</v>
      </c>
      <c r="T15" s="74">
        <v>20</v>
      </c>
      <c r="U15" s="74">
        <v>150</v>
      </c>
      <c r="V15" s="74">
        <v>4</v>
      </c>
      <c r="W15" s="423" t="s">
        <v>50</v>
      </c>
      <c r="X15" s="267" t="s">
        <v>51</v>
      </c>
      <c r="Y15" s="1026"/>
      <c r="Z15" s="75"/>
      <c r="AA15" s="1146"/>
      <c r="AB15" s="1146"/>
      <c r="AC15" s="1172" t="s">
        <v>40</v>
      </c>
      <c r="AD15" s="2" t="s">
        <v>53</v>
      </c>
      <c r="AE15" s="1185" t="s">
        <v>87</v>
      </c>
    </row>
    <row r="16" spans="1:31" s="109" customFormat="1" ht="70.5" customHeight="1">
      <c r="A16" s="1589"/>
      <c r="B16" s="1033"/>
      <c r="C16" s="1038"/>
      <c r="D16" s="1038"/>
      <c r="E16" s="1039"/>
      <c r="F16" s="1039"/>
      <c r="G16" s="1039"/>
      <c r="H16" s="1039"/>
      <c r="I16" s="1461"/>
      <c r="J16" s="267" t="s">
        <v>41</v>
      </c>
      <c r="K16" s="376" t="s">
        <v>95</v>
      </c>
      <c r="L16" s="1040" t="s">
        <v>96</v>
      </c>
      <c r="M16" s="1041" t="s">
        <v>97</v>
      </c>
      <c r="N16" s="1042" t="s">
        <v>98</v>
      </c>
      <c r="O16" s="1035" t="s">
        <v>40</v>
      </c>
      <c r="P16" s="1035" t="s">
        <v>46</v>
      </c>
      <c r="Q16" s="1019" t="s">
        <v>99</v>
      </c>
      <c r="R16" s="1035" t="s">
        <v>40</v>
      </c>
      <c r="S16" s="1043" t="s">
        <v>100</v>
      </c>
      <c r="T16" s="1044">
        <v>48</v>
      </c>
      <c r="U16" s="1045">
        <v>180</v>
      </c>
      <c r="V16" s="1045">
        <v>8</v>
      </c>
      <c r="W16" s="423" t="s">
        <v>50</v>
      </c>
      <c r="X16" s="267" t="s">
        <v>51</v>
      </c>
      <c r="Y16" s="267" t="s">
        <v>101</v>
      </c>
      <c r="Z16" s="276" t="s">
        <v>102</v>
      </c>
      <c r="AA16" s="1146"/>
      <c r="AB16" s="1043"/>
      <c r="AC16" s="1160" t="s">
        <v>40</v>
      </c>
      <c r="AD16" s="1174" t="s">
        <v>53</v>
      </c>
      <c r="AE16" s="1185" t="s">
        <v>103</v>
      </c>
    </row>
    <row r="17" spans="1:31" s="109" customFormat="1" ht="32.1" customHeight="1">
      <c r="A17" s="1589"/>
      <c r="B17" s="35"/>
      <c r="C17" s="35"/>
      <c r="D17" s="35"/>
      <c r="E17" s="35"/>
      <c r="F17" s="35"/>
      <c r="G17" s="35"/>
      <c r="H17" s="35"/>
      <c r="I17" s="1461"/>
      <c r="J17" s="398" t="s">
        <v>41</v>
      </c>
      <c r="K17" s="1048" t="s">
        <v>104</v>
      </c>
      <c r="L17" s="1049" t="s">
        <v>105</v>
      </c>
      <c r="M17" s="377" t="s">
        <v>106</v>
      </c>
      <c r="N17" s="377" t="s">
        <v>62</v>
      </c>
      <c r="O17" s="1035" t="s">
        <v>40</v>
      </c>
      <c r="P17" s="1035" t="s">
        <v>46</v>
      </c>
      <c r="Q17" s="1019" t="s">
        <v>99</v>
      </c>
      <c r="R17" s="1035" t="s">
        <v>40</v>
      </c>
      <c r="S17" s="1019" t="s">
        <v>107</v>
      </c>
      <c r="T17" s="1035">
        <v>8</v>
      </c>
      <c r="U17" s="1035">
        <v>931.65</v>
      </c>
      <c r="V17" s="1035">
        <v>4</v>
      </c>
      <c r="W17" s="1050" t="s">
        <v>65</v>
      </c>
      <c r="X17" s="267" t="s">
        <v>51</v>
      </c>
      <c r="Y17" s="267"/>
      <c r="Z17" s="267"/>
      <c r="AA17" s="1027"/>
      <c r="AB17" s="1046"/>
      <c r="AC17" s="1047" t="s">
        <v>40</v>
      </c>
      <c r="AD17" s="109" t="s">
        <v>53</v>
      </c>
      <c r="AE17" s="1185" t="s">
        <v>103</v>
      </c>
    </row>
    <row r="18" spans="1:31" s="109" customFormat="1" ht="31.35" customHeight="1">
      <c r="A18" s="1589"/>
      <c r="B18" s="35" t="s">
        <v>62</v>
      </c>
      <c r="C18" s="35" t="s">
        <v>62</v>
      </c>
      <c r="D18" s="35"/>
      <c r="E18" s="35"/>
      <c r="F18" s="35" t="s">
        <v>62</v>
      </c>
      <c r="G18" s="35" t="s">
        <v>62</v>
      </c>
      <c r="H18" s="35" t="s">
        <v>62</v>
      </c>
      <c r="I18" s="1461"/>
      <c r="J18" s="267" t="s">
        <v>41</v>
      </c>
      <c r="K18" s="1534" t="s">
        <v>108</v>
      </c>
      <c r="L18" s="1051" t="s">
        <v>109</v>
      </c>
      <c r="M18" s="1041" t="s">
        <v>110</v>
      </c>
      <c r="N18" s="1042" t="s">
        <v>62</v>
      </c>
      <c r="O18" s="1035" t="s">
        <v>40</v>
      </c>
      <c r="P18" s="1035" t="s">
        <v>46</v>
      </c>
      <c r="Q18" s="1019" t="s">
        <v>99</v>
      </c>
      <c r="R18" s="1035" t="s">
        <v>40</v>
      </c>
      <c r="S18" s="1041" t="s">
        <v>85</v>
      </c>
      <c r="T18" s="1052">
        <v>20</v>
      </c>
      <c r="U18" s="1035">
        <v>400</v>
      </c>
      <c r="V18" s="1035">
        <v>4</v>
      </c>
      <c r="W18" s="423" t="s">
        <v>65</v>
      </c>
      <c r="X18" s="267" t="s">
        <v>51</v>
      </c>
      <c r="Y18" s="267" t="s">
        <v>52</v>
      </c>
      <c r="Z18" s="267" t="s">
        <v>52</v>
      </c>
      <c r="AA18" s="1027"/>
      <c r="AB18" s="1046"/>
      <c r="AC18" s="1047" t="s">
        <v>40</v>
      </c>
      <c r="AD18" s="109" t="s">
        <v>53</v>
      </c>
      <c r="AE18" s="1186" t="s">
        <v>111</v>
      </c>
    </row>
    <row r="19" spans="1:31" s="109" customFormat="1" ht="48.75" customHeight="1">
      <c r="A19" s="1589"/>
      <c r="B19" s="35"/>
      <c r="C19" s="35"/>
      <c r="D19" s="35"/>
      <c r="E19" s="35"/>
      <c r="F19" s="35"/>
      <c r="G19" s="35"/>
      <c r="H19" s="35"/>
      <c r="I19" s="1461"/>
      <c r="J19" s="267" t="s">
        <v>41</v>
      </c>
      <c r="K19" s="376" t="s">
        <v>112</v>
      </c>
      <c r="L19" s="1053" t="s">
        <v>113</v>
      </c>
      <c r="M19" s="1054" t="s">
        <v>114</v>
      </c>
      <c r="N19" s="1042"/>
      <c r="O19" s="1035" t="s">
        <v>46</v>
      </c>
      <c r="P19" s="1035" t="s">
        <v>40</v>
      </c>
      <c r="Q19" s="1019" t="s">
        <v>115</v>
      </c>
      <c r="R19" s="1055" t="s">
        <v>40</v>
      </c>
      <c r="S19" s="1041" t="s">
        <v>116</v>
      </c>
      <c r="T19" s="1052">
        <v>16</v>
      </c>
      <c r="U19" s="1035">
        <v>160</v>
      </c>
      <c r="V19" s="1035">
        <v>2</v>
      </c>
      <c r="W19" s="35" t="s">
        <v>50</v>
      </c>
      <c r="X19" s="267" t="s">
        <v>51</v>
      </c>
      <c r="Y19" s="267"/>
      <c r="Z19" s="267"/>
      <c r="AA19" s="1027"/>
      <c r="AB19" s="18"/>
      <c r="AC19" s="1047" t="s">
        <v>40</v>
      </c>
      <c r="AD19" s="109" t="s">
        <v>53</v>
      </c>
      <c r="AE19" s="1185" t="s">
        <v>117</v>
      </c>
    </row>
    <row r="20" spans="1:31" s="1418" customFormat="1" ht="52.5" customHeight="1">
      <c r="A20" s="1589"/>
      <c r="B20" s="1403"/>
      <c r="C20" s="1403"/>
      <c r="D20" s="1403"/>
      <c r="E20" s="1403"/>
      <c r="F20" s="1403"/>
      <c r="G20" s="1403"/>
      <c r="H20" s="1403"/>
      <c r="I20" s="1461"/>
      <c r="J20" s="1404" t="s">
        <v>41</v>
      </c>
      <c r="K20" s="1405" t="s">
        <v>118</v>
      </c>
      <c r="L20" s="1406" t="s">
        <v>119</v>
      </c>
      <c r="M20" s="1407" t="s">
        <v>120</v>
      </c>
      <c r="N20" s="1408"/>
      <c r="O20" s="1409" t="s">
        <v>46</v>
      </c>
      <c r="P20" s="1409" t="s">
        <v>40</v>
      </c>
      <c r="Q20" s="1410" t="s">
        <v>121</v>
      </c>
      <c r="R20" s="1411" t="s">
        <v>40</v>
      </c>
      <c r="S20" s="1412" t="s">
        <v>116</v>
      </c>
      <c r="T20" s="1409">
        <v>4</v>
      </c>
      <c r="U20" s="1409">
        <v>300</v>
      </c>
      <c r="V20" s="1413">
        <v>4</v>
      </c>
      <c r="W20" s="895" t="s">
        <v>50</v>
      </c>
      <c r="X20" s="1414" t="s">
        <v>51</v>
      </c>
      <c r="Y20" s="1407"/>
      <c r="Z20" s="1407"/>
      <c r="AA20" s="1415"/>
      <c r="AB20" s="1416"/>
      <c r="AC20" s="1417" t="s">
        <v>40</v>
      </c>
      <c r="AD20" s="1418" t="s">
        <v>53</v>
      </c>
      <c r="AE20" s="1419" t="s">
        <v>122</v>
      </c>
    </row>
    <row r="21" spans="1:31" s="109" customFormat="1" ht="52.5" customHeight="1">
      <c r="A21" s="1589"/>
      <c r="B21" s="35"/>
      <c r="C21" s="35"/>
      <c r="D21" s="35"/>
      <c r="E21" s="35"/>
      <c r="F21" s="35"/>
      <c r="G21" s="35"/>
      <c r="H21" s="35"/>
      <c r="I21" s="1461"/>
      <c r="J21" s="267" t="s">
        <v>41</v>
      </c>
      <c r="K21" s="1513" t="s">
        <v>123</v>
      </c>
      <c r="L21" s="376" t="s">
        <v>124</v>
      </c>
      <c r="M21" s="1057" t="s">
        <v>125</v>
      </c>
      <c r="N21" s="1058"/>
      <c r="O21" s="1035" t="s">
        <v>46</v>
      </c>
      <c r="P21" s="1035" t="s">
        <v>40</v>
      </c>
      <c r="Q21" s="1059" t="s">
        <v>99</v>
      </c>
      <c r="R21" s="267" t="s">
        <v>40</v>
      </c>
      <c r="S21" s="1019" t="s">
        <v>126</v>
      </c>
      <c r="T21" s="1052">
        <v>8</v>
      </c>
      <c r="U21" s="1035">
        <v>100</v>
      </c>
      <c r="V21" s="1035">
        <v>4</v>
      </c>
      <c r="W21" s="423" t="s">
        <v>50</v>
      </c>
      <c r="X21" s="267" t="s">
        <v>51</v>
      </c>
      <c r="Y21" s="267" t="s">
        <v>52</v>
      </c>
      <c r="Z21" s="267" t="s">
        <v>52</v>
      </c>
      <c r="AA21" s="1027"/>
      <c r="AB21" s="1046"/>
      <c r="AC21" s="1047" t="s">
        <v>40</v>
      </c>
      <c r="AD21" s="109" t="s">
        <v>53</v>
      </c>
      <c r="AE21" s="1185" t="s">
        <v>127</v>
      </c>
    </row>
    <row r="22" spans="1:31" s="109" customFormat="1" ht="52.5" customHeight="1">
      <c r="A22" s="1589"/>
      <c r="B22" s="35"/>
      <c r="C22" s="35"/>
      <c r="D22" s="35"/>
      <c r="E22" s="35"/>
      <c r="F22" s="35"/>
      <c r="G22" s="35"/>
      <c r="H22" s="35"/>
      <c r="I22" s="1461"/>
      <c r="J22" s="267" t="s">
        <v>41</v>
      </c>
      <c r="K22" s="1513" t="s">
        <v>128</v>
      </c>
      <c r="L22" s="1364"/>
      <c r="M22" s="1118" t="s">
        <v>129</v>
      </c>
      <c r="N22" s="1083"/>
      <c r="O22" s="1035" t="s">
        <v>46</v>
      </c>
      <c r="P22" s="1035" t="s">
        <v>40</v>
      </c>
      <c r="Q22" s="1059" t="s">
        <v>99</v>
      </c>
      <c r="R22" s="267" t="s">
        <v>40</v>
      </c>
      <c r="S22" s="1019" t="s">
        <v>126</v>
      </c>
      <c r="T22" s="1052">
        <v>8</v>
      </c>
      <c r="U22" s="1035">
        <v>100</v>
      </c>
      <c r="V22" s="1035">
        <v>4</v>
      </c>
      <c r="W22" s="423" t="s">
        <v>50</v>
      </c>
      <c r="X22" s="267" t="s">
        <v>51</v>
      </c>
      <c r="Y22" s="267" t="s">
        <v>52</v>
      </c>
      <c r="Z22" s="267" t="s">
        <v>52</v>
      </c>
      <c r="AA22" s="1027"/>
      <c r="AB22" s="1046"/>
      <c r="AC22" s="1047"/>
      <c r="AE22" s="1185"/>
    </row>
    <row r="23" spans="1:31" s="109" customFormat="1" ht="52.5" customHeight="1">
      <c r="A23" s="1589"/>
      <c r="B23" s="35"/>
      <c r="C23" s="35"/>
      <c r="D23" s="35"/>
      <c r="E23" s="35"/>
      <c r="F23" s="35"/>
      <c r="G23" s="35"/>
      <c r="H23" s="35"/>
      <c r="I23" s="1461"/>
      <c r="J23" s="267" t="s">
        <v>41</v>
      </c>
      <c r="K23" s="1048" t="s">
        <v>130</v>
      </c>
      <c r="L23" s="1364" t="s">
        <v>131</v>
      </c>
      <c r="M23" s="376" t="s">
        <v>132</v>
      </c>
      <c r="N23" s="1061"/>
      <c r="O23" s="1035" t="s">
        <v>46</v>
      </c>
      <c r="P23" s="1035" t="s">
        <v>40</v>
      </c>
      <c r="Q23" s="1059" t="s">
        <v>133</v>
      </c>
      <c r="R23" s="267" t="s">
        <v>40</v>
      </c>
      <c r="S23" s="1019" t="s">
        <v>116</v>
      </c>
      <c r="T23" s="1052">
        <v>16</v>
      </c>
      <c r="U23" s="1035">
        <v>500</v>
      </c>
      <c r="V23" s="1035">
        <v>4</v>
      </c>
      <c r="W23" s="423" t="s">
        <v>50</v>
      </c>
      <c r="X23" s="267" t="s">
        <v>51</v>
      </c>
      <c r="Y23" s="267"/>
      <c r="Z23" s="267"/>
      <c r="AA23" s="1027"/>
      <c r="AB23" s="1046"/>
      <c r="AC23" s="1047" t="s">
        <v>40</v>
      </c>
      <c r="AD23" s="109" t="s">
        <v>134</v>
      </c>
      <c r="AE23" s="1185" t="s">
        <v>117</v>
      </c>
    </row>
    <row r="24" spans="1:31" s="109" customFormat="1" ht="52.5" customHeight="1">
      <c r="A24" s="1589"/>
      <c r="B24" s="35"/>
      <c r="C24" s="35"/>
      <c r="D24" s="35"/>
      <c r="E24" s="35"/>
      <c r="F24" s="35"/>
      <c r="G24" s="35"/>
      <c r="H24" s="35"/>
      <c r="I24" s="1461"/>
      <c r="J24" s="276" t="s">
        <v>41</v>
      </c>
      <c r="K24" s="1018" t="s">
        <v>135</v>
      </c>
      <c r="L24" s="376" t="s">
        <v>136</v>
      </c>
      <c r="M24" s="1070" t="s">
        <v>137</v>
      </c>
      <c r="N24" s="1061"/>
      <c r="O24" s="1035" t="s">
        <v>46</v>
      </c>
      <c r="P24" s="1035" t="s">
        <v>40</v>
      </c>
      <c r="Q24" s="1023" t="s">
        <v>63</v>
      </c>
      <c r="R24" s="267" t="s">
        <v>40</v>
      </c>
      <c r="S24" s="1019" t="s">
        <v>138</v>
      </c>
      <c r="T24" s="1052">
        <v>16</v>
      </c>
      <c r="U24" s="1035">
        <v>60</v>
      </c>
      <c r="V24" s="1035">
        <v>4</v>
      </c>
      <c r="W24" s="423" t="s">
        <v>86</v>
      </c>
      <c r="X24" s="267" t="s">
        <v>51</v>
      </c>
      <c r="Y24" s="267"/>
      <c r="Z24" s="267"/>
      <c r="AA24" s="1027"/>
      <c r="AB24" s="1046"/>
      <c r="AC24" s="1047" t="s">
        <v>40</v>
      </c>
      <c r="AD24" s="109" t="s">
        <v>134</v>
      </c>
      <c r="AE24" s="1185" t="s">
        <v>139</v>
      </c>
    </row>
    <row r="25" spans="1:31" s="109" customFormat="1" ht="52.5" customHeight="1">
      <c r="A25" s="1589"/>
      <c r="B25" s="35"/>
      <c r="C25" s="35"/>
      <c r="D25" s="35"/>
      <c r="E25" s="35"/>
      <c r="F25" s="35"/>
      <c r="G25" s="35"/>
      <c r="H25" s="35"/>
      <c r="I25" s="1461"/>
      <c r="J25" s="276" t="s">
        <v>41</v>
      </c>
      <c r="K25" s="376" t="s">
        <v>140</v>
      </c>
      <c r="L25" s="376" t="s">
        <v>141</v>
      </c>
      <c r="M25" s="1070" t="s">
        <v>142</v>
      </c>
      <c r="N25" s="1061"/>
      <c r="O25" s="1035" t="s">
        <v>46</v>
      </c>
      <c r="P25" s="1035" t="s">
        <v>40</v>
      </c>
      <c r="Q25" s="1023" t="s">
        <v>63</v>
      </c>
      <c r="R25" s="267" t="s">
        <v>40</v>
      </c>
      <c r="S25" s="1019" t="s">
        <v>138</v>
      </c>
      <c r="T25" s="1052">
        <v>16</v>
      </c>
      <c r="U25" s="1035">
        <v>60</v>
      </c>
      <c r="V25" s="1035">
        <v>4</v>
      </c>
      <c r="W25" s="423" t="s">
        <v>86</v>
      </c>
      <c r="X25" s="267" t="s">
        <v>51</v>
      </c>
      <c r="Y25" s="267"/>
      <c r="Z25" s="267"/>
      <c r="AA25" s="1027"/>
      <c r="AB25" s="1046"/>
      <c r="AC25" s="1047" t="s">
        <v>40</v>
      </c>
      <c r="AD25" s="109" t="s">
        <v>134</v>
      </c>
      <c r="AE25" s="1185" t="s">
        <v>127</v>
      </c>
    </row>
    <row r="26" spans="1:31" s="109" customFormat="1" ht="52.5" customHeight="1">
      <c r="A26" s="1589"/>
      <c r="B26" s="35"/>
      <c r="C26" s="35"/>
      <c r="D26" s="35"/>
      <c r="E26" s="35"/>
      <c r="F26" s="35"/>
      <c r="G26" s="35"/>
      <c r="H26" s="35"/>
      <c r="I26" s="1461"/>
      <c r="J26" s="276" t="s">
        <v>41</v>
      </c>
      <c r="K26" s="376" t="s">
        <v>143</v>
      </c>
      <c r="L26" s="376" t="s">
        <v>144</v>
      </c>
      <c r="M26" s="1070" t="s">
        <v>145</v>
      </c>
      <c r="N26" s="1061"/>
      <c r="O26" s="1035" t="s">
        <v>46</v>
      </c>
      <c r="P26" s="1035" t="s">
        <v>40</v>
      </c>
      <c r="Q26" s="1023" t="s">
        <v>63</v>
      </c>
      <c r="R26" s="267" t="s">
        <v>40</v>
      </c>
      <c r="S26" s="1019" t="s">
        <v>138</v>
      </c>
      <c r="T26" s="1052">
        <v>16</v>
      </c>
      <c r="U26" s="1035">
        <v>180</v>
      </c>
      <c r="V26" s="1035">
        <v>4</v>
      </c>
      <c r="W26" s="423" t="s">
        <v>86</v>
      </c>
      <c r="X26" s="267" t="s">
        <v>51</v>
      </c>
      <c r="Y26" s="267"/>
      <c r="Z26" s="267"/>
      <c r="AA26" s="1027"/>
      <c r="AB26" s="1046"/>
      <c r="AC26" s="1047" t="s">
        <v>40</v>
      </c>
      <c r="AD26" s="109" t="s">
        <v>134</v>
      </c>
      <c r="AE26" s="1185" t="s">
        <v>54</v>
      </c>
    </row>
    <row r="27" spans="1:31" s="109" customFormat="1" ht="52.5" customHeight="1">
      <c r="A27" s="1589"/>
      <c r="B27" s="35"/>
      <c r="C27" s="35"/>
      <c r="D27" s="35"/>
      <c r="E27" s="35"/>
      <c r="F27" s="35"/>
      <c r="G27" s="35"/>
      <c r="H27" s="35"/>
      <c r="I27" s="1461"/>
      <c r="J27" s="276" t="s">
        <v>41</v>
      </c>
      <c r="K27" s="1048" t="s">
        <v>146</v>
      </c>
      <c r="L27" s="1048" t="s">
        <v>147</v>
      </c>
      <c r="M27" s="1512" t="s">
        <v>148</v>
      </c>
      <c r="N27" s="1061"/>
      <c r="O27" s="1035" t="s">
        <v>46</v>
      </c>
      <c r="P27" s="1035" t="s">
        <v>40</v>
      </c>
      <c r="Q27" s="1023" t="s">
        <v>63</v>
      </c>
      <c r="R27" s="267" t="s">
        <v>40</v>
      </c>
      <c r="S27" s="1019" t="s">
        <v>138</v>
      </c>
      <c r="T27" s="1052">
        <v>16</v>
      </c>
      <c r="U27" s="1035">
        <v>60</v>
      </c>
      <c r="V27" s="1035">
        <v>4</v>
      </c>
      <c r="W27" s="423" t="s">
        <v>86</v>
      </c>
      <c r="X27" s="267" t="s">
        <v>51</v>
      </c>
      <c r="Y27" s="267"/>
      <c r="Z27" s="267"/>
      <c r="AA27" s="1027"/>
      <c r="AB27" s="1046"/>
      <c r="AC27" s="1047" t="s">
        <v>40</v>
      </c>
      <c r="AD27" s="109" t="s">
        <v>134</v>
      </c>
      <c r="AE27" s="1185" t="s">
        <v>103</v>
      </c>
    </row>
    <row r="28" spans="1:31" s="109" customFormat="1" ht="52.5" customHeight="1">
      <c r="A28" s="1589"/>
      <c r="B28" s="35"/>
      <c r="C28" s="35"/>
      <c r="D28" s="35"/>
      <c r="E28" s="35"/>
      <c r="F28" s="35"/>
      <c r="G28" s="35"/>
      <c r="H28" s="35"/>
      <c r="I28" s="1461"/>
      <c r="J28" s="276" t="s">
        <v>41</v>
      </c>
      <c r="K28" s="376" t="s">
        <v>149</v>
      </c>
      <c r="L28" s="376" t="s">
        <v>150</v>
      </c>
      <c r="M28" s="376" t="s">
        <v>151</v>
      </c>
      <c r="N28" s="1511"/>
      <c r="O28" s="1035" t="s">
        <v>46</v>
      </c>
      <c r="P28" s="1035" t="s">
        <v>40</v>
      </c>
      <c r="Q28" s="1023" t="s">
        <v>63</v>
      </c>
      <c r="R28" s="267" t="s">
        <v>40</v>
      </c>
      <c r="S28" s="1019" t="s">
        <v>116</v>
      </c>
      <c r="T28" s="1052">
        <v>8</v>
      </c>
      <c r="U28" s="1035">
        <v>90</v>
      </c>
      <c r="V28" s="1035">
        <v>4</v>
      </c>
      <c r="W28" s="423" t="s">
        <v>86</v>
      </c>
      <c r="X28" s="267" t="s">
        <v>51</v>
      </c>
      <c r="Y28" s="267"/>
      <c r="Z28" s="267"/>
      <c r="AA28" s="1027"/>
      <c r="AB28" s="1046"/>
      <c r="AC28" s="1047"/>
      <c r="AE28" s="1185"/>
    </row>
    <row r="29" spans="1:31" s="109" customFormat="1" ht="52.5" customHeight="1">
      <c r="A29" s="1589"/>
      <c r="B29" s="35"/>
      <c r="C29" s="35"/>
      <c r="D29" s="35"/>
      <c r="E29" s="35"/>
      <c r="F29" s="35"/>
      <c r="G29" s="35"/>
      <c r="H29" s="35"/>
      <c r="I29" s="1461"/>
      <c r="J29" s="276" t="s">
        <v>41</v>
      </c>
      <c r="K29" s="376" t="s">
        <v>152</v>
      </c>
      <c r="L29" s="376" t="s">
        <v>153</v>
      </c>
      <c r="M29" s="376" t="s">
        <v>154</v>
      </c>
      <c r="N29" s="1511"/>
      <c r="O29" s="1035"/>
      <c r="P29" s="1035" t="s">
        <v>40</v>
      </c>
      <c r="Q29" s="1023" t="s">
        <v>63</v>
      </c>
      <c r="R29" s="267" t="s">
        <v>40</v>
      </c>
      <c r="S29" s="1019" t="s">
        <v>116</v>
      </c>
      <c r="T29" s="1052">
        <v>16</v>
      </c>
      <c r="U29" s="1035">
        <v>1240</v>
      </c>
      <c r="V29" s="1035">
        <v>8</v>
      </c>
      <c r="W29" s="423" t="s">
        <v>50</v>
      </c>
      <c r="X29" s="267" t="s">
        <v>51</v>
      </c>
      <c r="Y29" s="267"/>
      <c r="Z29" s="267"/>
      <c r="AA29" s="1027"/>
      <c r="AB29" s="1046"/>
      <c r="AC29" s="1047" t="s">
        <v>40</v>
      </c>
      <c r="AD29" s="109" t="s">
        <v>53</v>
      </c>
      <c r="AE29" s="1185"/>
    </row>
    <row r="30" spans="1:31" s="109" customFormat="1" ht="15.6" customHeight="1">
      <c r="A30" s="1589"/>
      <c r="B30" s="35"/>
      <c r="C30" s="35"/>
      <c r="D30" s="35"/>
      <c r="E30" s="35"/>
      <c r="F30" s="35"/>
      <c r="G30" s="35"/>
      <c r="H30" s="35"/>
      <c r="I30" s="1461"/>
      <c r="J30" s="276" t="s">
        <v>41</v>
      </c>
      <c r="K30" s="376" t="s">
        <v>155</v>
      </c>
      <c r="L30" s="376" t="s">
        <v>156</v>
      </c>
      <c r="M30" s="376" t="s">
        <v>157</v>
      </c>
      <c r="N30" s="1511"/>
      <c r="O30" s="1035" t="s">
        <v>46</v>
      </c>
      <c r="P30" s="1035" t="s">
        <v>40</v>
      </c>
      <c r="Q30" s="1060" t="s">
        <v>158</v>
      </c>
      <c r="R30" s="267" t="s">
        <v>40</v>
      </c>
      <c r="S30" s="1019" t="s">
        <v>138</v>
      </c>
      <c r="T30" s="1052">
        <v>4</v>
      </c>
      <c r="U30" s="1035">
        <v>400</v>
      </c>
      <c r="V30" s="1035">
        <v>2</v>
      </c>
      <c r="W30" s="423" t="s">
        <v>50</v>
      </c>
      <c r="X30" s="267" t="s">
        <v>51</v>
      </c>
      <c r="Y30" s="267" t="s">
        <v>52</v>
      </c>
      <c r="Z30" s="267" t="s">
        <v>52</v>
      </c>
      <c r="AA30" s="1027"/>
      <c r="AB30" s="1046"/>
      <c r="AC30" s="1047" t="s">
        <v>40</v>
      </c>
      <c r="AD30" s="109" t="s">
        <v>53</v>
      </c>
      <c r="AE30" s="1185" t="s">
        <v>127</v>
      </c>
    </row>
    <row r="31" spans="1:31" s="109" customFormat="1" ht="15.6" customHeight="1">
      <c r="A31" s="1589"/>
      <c r="B31" s="35"/>
      <c r="C31" s="35"/>
      <c r="D31" s="35"/>
      <c r="E31" s="35"/>
      <c r="F31" s="35"/>
      <c r="G31" s="35"/>
      <c r="H31" s="35"/>
      <c r="I31" s="1461"/>
      <c r="J31" s="276" t="s">
        <v>41</v>
      </c>
      <c r="K31" s="1018" t="s">
        <v>159</v>
      </c>
      <c r="L31" s="376" t="s">
        <v>160</v>
      </c>
      <c r="M31" s="376" t="s">
        <v>161</v>
      </c>
      <c r="N31" s="1511"/>
      <c r="O31" s="1035" t="s">
        <v>46</v>
      </c>
      <c r="P31" s="1035" t="s">
        <v>40</v>
      </c>
      <c r="Q31" s="1060" t="s">
        <v>162</v>
      </c>
      <c r="R31" s="267" t="s">
        <v>40</v>
      </c>
      <c r="S31" s="1019" t="s">
        <v>163</v>
      </c>
      <c r="T31" s="1052">
        <v>8</v>
      </c>
      <c r="U31" s="1035">
        <v>250</v>
      </c>
      <c r="V31" s="1035">
        <v>4</v>
      </c>
      <c r="W31" s="423" t="s">
        <v>50</v>
      </c>
      <c r="X31" s="267" t="s">
        <v>51</v>
      </c>
      <c r="Y31" s="267"/>
      <c r="Z31" s="267"/>
      <c r="AA31" s="1027"/>
      <c r="AB31" s="1046"/>
      <c r="AC31" s="1047" t="s">
        <v>40</v>
      </c>
      <c r="AD31" s="109" t="s">
        <v>53</v>
      </c>
      <c r="AE31" s="1185" t="s">
        <v>164</v>
      </c>
    </row>
    <row r="32" spans="1:31" s="109" customFormat="1" ht="15.6" customHeight="1">
      <c r="A32" s="1589"/>
      <c r="B32" s="35" t="s">
        <v>62</v>
      </c>
      <c r="C32" s="35" t="s">
        <v>62</v>
      </c>
      <c r="D32" s="35"/>
      <c r="E32" s="35"/>
      <c r="F32" s="35" t="s">
        <v>62</v>
      </c>
      <c r="G32" s="35" t="s">
        <v>62</v>
      </c>
      <c r="H32" s="35" t="s">
        <v>62</v>
      </c>
      <c r="I32" s="1461"/>
      <c r="J32" s="267" t="s">
        <v>41</v>
      </c>
      <c r="K32" s="377" t="s">
        <v>165</v>
      </c>
      <c r="L32" s="1063" t="s">
        <v>166</v>
      </c>
      <c r="M32" s="377" t="s">
        <v>167</v>
      </c>
      <c r="N32" s="1061" t="s">
        <v>62</v>
      </c>
      <c r="O32" s="1035" t="s">
        <v>46</v>
      </c>
      <c r="P32" s="1035" t="s">
        <v>40</v>
      </c>
      <c r="Q32" s="1023" t="s">
        <v>63</v>
      </c>
      <c r="R32" s="267" t="s">
        <v>40</v>
      </c>
      <c r="S32" s="1019" t="s">
        <v>168</v>
      </c>
      <c r="T32" s="1052">
        <v>8</v>
      </c>
      <c r="U32" s="1035">
        <v>100</v>
      </c>
      <c r="V32" s="1035">
        <v>4</v>
      </c>
      <c r="W32" s="423" t="s">
        <v>50</v>
      </c>
      <c r="X32" s="267" t="s">
        <v>51</v>
      </c>
      <c r="Y32" s="267" t="s">
        <v>52</v>
      </c>
      <c r="Z32" s="267" t="s">
        <v>52</v>
      </c>
      <c r="AA32" s="1027"/>
      <c r="AB32" s="1046"/>
      <c r="AC32" s="1047" t="s">
        <v>40</v>
      </c>
      <c r="AD32" s="109" t="s">
        <v>53</v>
      </c>
      <c r="AE32" s="1177" t="s">
        <v>169</v>
      </c>
    </row>
    <row r="33" spans="1:31" ht="15.6" customHeight="1">
      <c r="A33" s="1589"/>
      <c r="B33" s="33"/>
      <c r="C33" s="33"/>
      <c r="D33" s="33"/>
      <c r="E33" s="33"/>
      <c r="F33" s="33"/>
      <c r="G33" s="33"/>
      <c r="H33" s="33"/>
      <c r="I33" s="1461"/>
      <c r="J33" s="267" t="s">
        <v>41</v>
      </c>
      <c r="K33" s="20" t="s">
        <v>170</v>
      </c>
      <c r="L33" s="1060" t="s">
        <v>171</v>
      </c>
      <c r="M33" s="20" t="s">
        <v>172</v>
      </c>
      <c r="N33" s="460" t="s">
        <v>173</v>
      </c>
      <c r="O33" s="1035" t="s">
        <v>46</v>
      </c>
      <c r="P33" s="1035" t="s">
        <v>40</v>
      </c>
      <c r="Q33" s="24" t="s">
        <v>174</v>
      </c>
      <c r="R33" s="74" t="s">
        <v>40</v>
      </c>
      <c r="S33" s="95" t="s">
        <v>138</v>
      </c>
      <c r="T33" s="1025">
        <v>8</v>
      </c>
      <c r="U33" s="1035">
        <v>300</v>
      </c>
      <c r="V33" s="1025">
        <v>8</v>
      </c>
      <c r="W33" s="423" t="s">
        <v>50</v>
      </c>
      <c r="X33" s="267" t="s">
        <v>51</v>
      </c>
      <c r="Y33" s="74"/>
      <c r="Z33" s="74"/>
      <c r="AA33" s="1027"/>
      <c r="AB33" s="18"/>
      <c r="AC33" s="1028" t="s">
        <v>40</v>
      </c>
      <c r="AD33" s="109" t="s">
        <v>175</v>
      </c>
      <c r="AE33" s="1177" t="s">
        <v>176</v>
      </c>
    </row>
    <row r="34" spans="1:31" ht="15.6" customHeight="1">
      <c r="A34" s="1589"/>
      <c r="B34" s="33" t="s">
        <v>62</v>
      </c>
      <c r="C34" s="33" t="s">
        <v>62</v>
      </c>
      <c r="D34" s="33"/>
      <c r="E34" s="33"/>
      <c r="F34" s="33" t="s">
        <v>62</v>
      </c>
      <c r="G34" s="33" t="s">
        <v>62</v>
      </c>
      <c r="H34" s="33" t="s">
        <v>62</v>
      </c>
      <c r="I34" s="1461"/>
      <c r="J34" s="370" t="s">
        <v>41</v>
      </c>
      <c r="K34" s="275" t="s">
        <v>177</v>
      </c>
      <c r="L34" s="1063" t="s">
        <v>178</v>
      </c>
      <c r="M34" s="20" t="s">
        <v>179</v>
      </c>
      <c r="N34" s="21" t="s">
        <v>62</v>
      </c>
      <c r="O34" s="1035" t="s">
        <v>40</v>
      </c>
      <c r="P34" s="1055" t="s">
        <v>46</v>
      </c>
      <c r="Q34" s="24" t="s">
        <v>174</v>
      </c>
      <c r="R34" s="74" t="s">
        <v>40</v>
      </c>
      <c r="S34" s="95" t="s">
        <v>180</v>
      </c>
      <c r="T34" s="1024">
        <v>8</v>
      </c>
      <c r="U34" s="1025">
        <v>550</v>
      </c>
      <c r="V34" s="1025">
        <v>2</v>
      </c>
      <c r="W34" s="423" t="s">
        <v>86</v>
      </c>
      <c r="X34" s="267" t="s">
        <v>51</v>
      </c>
      <c r="Y34" s="74" t="s">
        <v>181</v>
      </c>
      <c r="Z34" s="74" t="s">
        <v>182</v>
      </c>
      <c r="AA34" s="1027"/>
      <c r="AB34" s="18"/>
      <c r="AC34" s="1028" t="s">
        <v>40</v>
      </c>
      <c r="AD34" t="s">
        <v>53</v>
      </c>
      <c r="AE34" s="1186" t="s">
        <v>111</v>
      </c>
    </row>
    <row r="35" spans="1:31" ht="15.6" customHeight="1">
      <c r="A35" s="1589"/>
      <c r="B35" s="33"/>
      <c r="C35" s="33"/>
      <c r="D35" s="33"/>
      <c r="E35" s="33"/>
      <c r="F35" s="33"/>
      <c r="G35" s="33"/>
      <c r="H35" s="33"/>
      <c r="I35" s="1461"/>
      <c r="J35" s="267" t="s">
        <v>41</v>
      </c>
      <c r="K35" s="1064" t="s">
        <v>183</v>
      </c>
      <c r="L35" s="1041" t="s">
        <v>184</v>
      </c>
      <c r="M35" s="1020" t="s">
        <v>185</v>
      </c>
      <c r="N35" s="1065"/>
      <c r="O35" s="423" t="s">
        <v>40</v>
      </c>
      <c r="P35" s="267" t="s">
        <v>46</v>
      </c>
      <c r="Q35" s="1066" t="s">
        <v>186</v>
      </c>
      <c r="R35" s="1067" t="s">
        <v>40</v>
      </c>
      <c r="S35" s="95" t="s">
        <v>187</v>
      </c>
      <c r="T35" s="1024">
        <v>38</v>
      </c>
      <c r="U35" s="1025">
        <v>100</v>
      </c>
      <c r="V35" s="1068">
        <v>10</v>
      </c>
      <c r="W35" s="276" t="s">
        <v>50</v>
      </c>
      <c r="X35" s="267" t="s">
        <v>188</v>
      </c>
      <c r="Y35" s="1026"/>
      <c r="Z35" s="74"/>
      <c r="AA35" s="1027"/>
      <c r="AB35" s="18"/>
      <c r="AC35" s="1028" t="s">
        <v>40</v>
      </c>
      <c r="AE35" s="1177" t="s">
        <v>54</v>
      </c>
    </row>
    <row r="36" spans="1:31" ht="23.25" customHeight="1">
      <c r="A36" s="1589"/>
      <c r="B36" s="33"/>
      <c r="C36" s="33"/>
      <c r="D36" s="33"/>
      <c r="E36" s="33"/>
      <c r="F36" s="33"/>
      <c r="G36" s="33"/>
      <c r="H36" s="33"/>
      <c r="I36" s="1461"/>
      <c r="J36" s="267" t="s">
        <v>41</v>
      </c>
      <c r="K36" s="376" t="s">
        <v>189</v>
      </c>
      <c r="L36" s="1061" t="s">
        <v>190</v>
      </c>
      <c r="M36" s="376" t="s">
        <v>191</v>
      </c>
      <c r="N36" s="1061" t="s">
        <v>62</v>
      </c>
      <c r="O36" s="423" t="s">
        <v>40</v>
      </c>
      <c r="P36" s="267" t="s">
        <v>46</v>
      </c>
      <c r="Q36" s="1069" t="s">
        <v>192</v>
      </c>
      <c r="R36" s="267" t="s">
        <v>40</v>
      </c>
      <c r="S36" s="1070" t="s">
        <v>85</v>
      </c>
      <c r="T36" s="267">
        <v>8</v>
      </c>
      <c r="U36" s="267">
        <v>80</v>
      </c>
      <c r="V36" s="267">
        <v>4</v>
      </c>
      <c r="W36" s="267" t="s">
        <v>50</v>
      </c>
      <c r="X36" s="267" t="s">
        <v>51</v>
      </c>
      <c r="Y36" s="267" t="s">
        <v>52</v>
      </c>
      <c r="Z36" s="267" t="s">
        <v>52</v>
      </c>
      <c r="AA36" s="1027"/>
      <c r="AB36" s="18"/>
      <c r="AC36" s="27" t="s">
        <v>40</v>
      </c>
      <c r="AD36" t="s">
        <v>53</v>
      </c>
      <c r="AE36" s="1185" t="s">
        <v>87</v>
      </c>
    </row>
    <row r="37" spans="1:31" s="109" customFormat="1" ht="31.35" customHeight="1">
      <c r="A37" s="1589"/>
      <c r="B37" s="35" t="s">
        <v>62</v>
      </c>
      <c r="C37" s="35" t="s">
        <v>62</v>
      </c>
      <c r="D37" s="35"/>
      <c r="E37" s="35"/>
      <c r="F37" s="35" t="s">
        <v>62</v>
      </c>
      <c r="G37" s="35" t="s">
        <v>62</v>
      </c>
      <c r="H37" s="35" t="s">
        <v>62</v>
      </c>
      <c r="I37" s="1461"/>
      <c r="J37" s="267" t="s">
        <v>41</v>
      </c>
      <c r="K37" s="376" t="s">
        <v>193</v>
      </c>
      <c r="L37" s="1060" t="s">
        <v>194</v>
      </c>
      <c r="M37" s="1018" t="s">
        <v>195</v>
      </c>
      <c r="N37" s="1061" t="s">
        <v>196</v>
      </c>
      <c r="O37" s="1035" t="s">
        <v>46</v>
      </c>
      <c r="P37" s="1035" t="s">
        <v>40</v>
      </c>
      <c r="Q37" s="1023" t="s">
        <v>63</v>
      </c>
      <c r="R37" s="267" t="s">
        <v>40</v>
      </c>
      <c r="S37" s="1019" t="s">
        <v>116</v>
      </c>
      <c r="T37" s="1052">
        <v>20</v>
      </c>
      <c r="U37" s="1035">
        <f>250+150</f>
        <v>400</v>
      </c>
      <c r="V37" s="1035">
        <v>4</v>
      </c>
      <c r="W37" s="423" t="s">
        <v>50</v>
      </c>
      <c r="X37" s="267" t="s">
        <v>51</v>
      </c>
      <c r="Y37" s="267" t="s">
        <v>52</v>
      </c>
      <c r="Z37" s="267" t="s">
        <v>52</v>
      </c>
      <c r="AA37" s="1027"/>
      <c r="AB37" s="1046"/>
      <c r="AC37" s="1047" t="s">
        <v>40</v>
      </c>
      <c r="AD37" s="109" t="s">
        <v>53</v>
      </c>
      <c r="AE37" s="1185" t="s">
        <v>117</v>
      </c>
    </row>
    <row r="38" spans="1:31" s="109" customFormat="1" ht="27" customHeight="1">
      <c r="A38" s="1589"/>
      <c r="B38" s="35" t="s">
        <v>62</v>
      </c>
      <c r="C38" s="35" t="s">
        <v>62</v>
      </c>
      <c r="D38" s="35"/>
      <c r="E38" s="35"/>
      <c r="F38" s="35" t="s">
        <v>62</v>
      </c>
      <c r="G38" s="35" t="s">
        <v>62</v>
      </c>
      <c r="H38" s="35" t="s">
        <v>62</v>
      </c>
      <c r="I38" s="1461"/>
      <c r="J38" s="267" t="s">
        <v>41</v>
      </c>
      <c r="K38" s="1019" t="s">
        <v>197</v>
      </c>
      <c r="L38" s="1041" t="s">
        <v>198</v>
      </c>
      <c r="M38" s="1041" t="s">
        <v>199</v>
      </c>
      <c r="N38" s="1042" t="s">
        <v>62</v>
      </c>
      <c r="O38" s="1035" t="s">
        <v>40</v>
      </c>
      <c r="P38" s="1035" t="s">
        <v>46</v>
      </c>
      <c r="Q38" s="1066" t="s">
        <v>186</v>
      </c>
      <c r="R38" s="1067" t="s">
        <v>40</v>
      </c>
      <c r="S38" s="1019" t="s">
        <v>85</v>
      </c>
      <c r="T38" s="1052">
        <v>6</v>
      </c>
      <c r="U38" s="1035">
        <v>250</v>
      </c>
      <c r="V38" s="1035">
        <v>4</v>
      </c>
      <c r="W38" s="423" t="s">
        <v>65</v>
      </c>
      <c r="X38" s="1071" t="s">
        <v>200</v>
      </c>
      <c r="Y38" s="267" t="s">
        <v>52</v>
      </c>
      <c r="Z38" s="267" t="s">
        <v>52</v>
      </c>
      <c r="AA38" s="1072"/>
      <c r="AB38" s="1046"/>
      <c r="AC38" s="1047" t="s">
        <v>40</v>
      </c>
      <c r="AD38" s="109" t="s">
        <v>53</v>
      </c>
      <c r="AE38" s="1185" t="s">
        <v>117</v>
      </c>
    </row>
    <row r="39" spans="1:31" ht="16.350000000000001" customHeight="1">
      <c r="A39" s="1589"/>
      <c r="B39" s="33"/>
      <c r="C39" s="33"/>
      <c r="D39" s="33"/>
      <c r="E39" s="33"/>
      <c r="F39" s="33"/>
      <c r="G39" s="33"/>
      <c r="H39" s="33"/>
      <c r="I39" s="1461"/>
      <c r="J39" s="267" t="s">
        <v>41</v>
      </c>
      <c r="K39" s="20" t="s">
        <v>201</v>
      </c>
      <c r="L39" s="376" t="s">
        <v>202</v>
      </c>
      <c r="M39" s="1073" t="s">
        <v>203</v>
      </c>
      <c r="N39" s="18" t="s">
        <v>62</v>
      </c>
      <c r="O39" s="1035" t="s">
        <v>40</v>
      </c>
      <c r="P39" s="1035" t="s">
        <v>46</v>
      </c>
      <c r="Q39" s="24" t="s">
        <v>204</v>
      </c>
      <c r="R39" s="1067" t="s">
        <v>40</v>
      </c>
      <c r="S39" s="1073" t="s">
        <v>205</v>
      </c>
      <c r="T39" s="1074">
        <v>64</v>
      </c>
      <c r="U39" s="1055">
        <v>3000</v>
      </c>
      <c r="V39" s="1074">
        <v>8</v>
      </c>
      <c r="W39" s="423" t="s">
        <v>50</v>
      </c>
      <c r="X39" s="267" t="s">
        <v>51</v>
      </c>
      <c r="Y39" s="74" t="s">
        <v>206</v>
      </c>
      <c r="Z39" s="27" t="s">
        <v>207</v>
      </c>
      <c r="AA39" s="1027"/>
      <c r="AB39" s="18"/>
      <c r="AC39" s="1075" t="s">
        <v>208</v>
      </c>
      <c r="AD39" t="s">
        <v>53</v>
      </c>
      <c r="AE39" s="1185" t="s">
        <v>54</v>
      </c>
    </row>
    <row r="40" spans="1:31" s="109" customFormat="1" ht="28.5" customHeight="1">
      <c r="A40" s="1589"/>
      <c r="B40" s="35" t="s">
        <v>62</v>
      </c>
      <c r="C40" s="35" t="s">
        <v>62</v>
      </c>
      <c r="D40" s="35"/>
      <c r="E40" s="35"/>
      <c r="F40" s="35" t="s">
        <v>62</v>
      </c>
      <c r="G40" s="35" t="s">
        <v>62</v>
      </c>
      <c r="H40" s="35" t="s">
        <v>62</v>
      </c>
      <c r="I40" s="1461"/>
      <c r="J40" s="267" t="s">
        <v>41</v>
      </c>
      <c r="K40" s="376" t="s">
        <v>209</v>
      </c>
      <c r="L40" s="376" t="s">
        <v>210</v>
      </c>
      <c r="M40" s="1070" t="s">
        <v>211</v>
      </c>
      <c r="N40" s="1061" t="s">
        <v>212</v>
      </c>
      <c r="O40" s="1035" t="s">
        <v>40</v>
      </c>
      <c r="P40" s="1035" t="s">
        <v>46</v>
      </c>
      <c r="Q40" s="1066" t="s">
        <v>186</v>
      </c>
      <c r="R40" s="74" t="s">
        <v>40</v>
      </c>
      <c r="S40" s="1070" t="s">
        <v>187</v>
      </c>
      <c r="T40" s="267">
        <v>2</v>
      </c>
      <c r="U40" s="267">
        <v>60</v>
      </c>
      <c r="V40" s="267">
        <v>1</v>
      </c>
      <c r="W40" s="423" t="s">
        <v>50</v>
      </c>
      <c r="X40" s="1071" t="s">
        <v>51</v>
      </c>
      <c r="Y40" s="267" t="s">
        <v>52</v>
      </c>
      <c r="Z40" s="267" t="s">
        <v>52</v>
      </c>
      <c r="AA40" s="1027"/>
      <c r="AB40" s="18"/>
      <c r="AC40" s="1047" t="s">
        <v>40</v>
      </c>
      <c r="AD40" s="109" t="s">
        <v>53</v>
      </c>
      <c r="AE40" s="1177" t="s">
        <v>213</v>
      </c>
    </row>
    <row r="41" spans="1:31" ht="15.6" customHeight="1">
      <c r="A41" s="1589"/>
      <c r="B41" s="33" t="s">
        <v>62</v>
      </c>
      <c r="C41" s="33" t="s">
        <v>62</v>
      </c>
      <c r="D41" s="33"/>
      <c r="E41" s="33"/>
      <c r="F41" s="33" t="s">
        <v>62</v>
      </c>
      <c r="G41" s="33" t="s">
        <v>62</v>
      </c>
      <c r="H41" s="33" t="s">
        <v>62</v>
      </c>
      <c r="I41" s="1461"/>
      <c r="J41" s="267" t="s">
        <v>41</v>
      </c>
      <c r="K41" s="20" t="s">
        <v>214</v>
      </c>
      <c r="L41" s="376" t="s">
        <v>215</v>
      </c>
      <c r="M41" s="95" t="s">
        <v>216</v>
      </c>
      <c r="N41" s="1021" t="s">
        <v>217</v>
      </c>
      <c r="O41" s="1035" t="s">
        <v>40</v>
      </c>
      <c r="P41" s="1035" t="s">
        <v>46</v>
      </c>
      <c r="Q41" s="1076" t="s">
        <v>218</v>
      </c>
      <c r="R41" s="1077" t="s">
        <v>40</v>
      </c>
      <c r="S41" s="1020" t="s">
        <v>187</v>
      </c>
      <c r="T41" s="1024">
        <v>4</v>
      </c>
      <c r="U41" s="1025">
        <v>50</v>
      </c>
      <c r="V41" s="1025">
        <v>2</v>
      </c>
      <c r="W41" s="423" t="s">
        <v>86</v>
      </c>
      <c r="X41" s="1071" t="s">
        <v>51</v>
      </c>
      <c r="Y41" s="74" t="s">
        <v>52</v>
      </c>
      <c r="Z41" s="74" t="s">
        <v>52</v>
      </c>
      <c r="AA41" s="1027"/>
      <c r="AB41" s="18"/>
      <c r="AC41" s="1028" t="s">
        <v>40</v>
      </c>
      <c r="AD41" t="s">
        <v>219</v>
      </c>
      <c r="AE41" s="1186" t="s">
        <v>220</v>
      </c>
    </row>
    <row r="42" spans="1:31" ht="15.75" customHeight="1">
      <c r="A42" s="1589"/>
      <c r="B42" s="33" t="s">
        <v>62</v>
      </c>
      <c r="C42" s="33" t="s">
        <v>62</v>
      </c>
      <c r="D42" s="33"/>
      <c r="E42" s="33"/>
      <c r="F42" s="33" t="s">
        <v>62</v>
      </c>
      <c r="G42" s="33" t="s">
        <v>62</v>
      </c>
      <c r="H42" s="33" t="s">
        <v>62</v>
      </c>
      <c r="I42" s="1461"/>
      <c r="J42" s="267" t="s">
        <v>41</v>
      </c>
      <c r="K42" s="20" t="s">
        <v>221</v>
      </c>
      <c r="L42" s="376" t="s">
        <v>222</v>
      </c>
      <c r="M42" s="1078" t="s">
        <v>223</v>
      </c>
      <c r="N42" s="1021" t="s">
        <v>62</v>
      </c>
      <c r="O42" s="1035" t="s">
        <v>40</v>
      </c>
      <c r="P42" s="1035" t="s">
        <v>46</v>
      </c>
      <c r="Q42" s="1079" t="s">
        <v>224</v>
      </c>
      <c r="R42" s="1080" t="s">
        <v>40</v>
      </c>
      <c r="S42" s="1020" t="s">
        <v>100</v>
      </c>
      <c r="T42" s="1024">
        <v>4</v>
      </c>
      <c r="U42" s="1025">
        <v>120</v>
      </c>
      <c r="V42" s="1025">
        <v>2</v>
      </c>
      <c r="W42" s="423" t="s">
        <v>65</v>
      </c>
      <c r="X42" s="267" t="s">
        <v>200</v>
      </c>
      <c r="Y42" s="74" t="s">
        <v>101</v>
      </c>
      <c r="Z42" s="74" t="s">
        <v>102</v>
      </c>
      <c r="AA42" s="1027"/>
      <c r="AB42" s="18"/>
      <c r="AC42" s="1028" t="s">
        <v>40</v>
      </c>
      <c r="AD42" t="s">
        <v>53</v>
      </c>
      <c r="AE42" s="1185" t="s">
        <v>164</v>
      </c>
    </row>
    <row r="43" spans="1:31" ht="15.75" customHeight="1">
      <c r="A43" s="1589"/>
      <c r="B43" s="33" t="s">
        <v>62</v>
      </c>
      <c r="C43" s="33" t="s">
        <v>62</v>
      </c>
      <c r="D43" s="33"/>
      <c r="E43" s="33"/>
      <c r="F43" s="33" t="s">
        <v>62</v>
      </c>
      <c r="G43" s="33" t="s">
        <v>62</v>
      </c>
      <c r="H43" s="33" t="s">
        <v>62</v>
      </c>
      <c r="I43" s="1461"/>
      <c r="J43" s="267" t="s">
        <v>41</v>
      </c>
      <c r="K43" s="20" t="s">
        <v>225</v>
      </c>
      <c r="L43" s="376" t="s">
        <v>226</v>
      </c>
      <c r="M43" s="95" t="s">
        <v>227</v>
      </c>
      <c r="N43" s="1021" t="s">
        <v>228</v>
      </c>
      <c r="O43" s="1035" t="s">
        <v>40</v>
      </c>
      <c r="P43" s="1035" t="s">
        <v>46</v>
      </c>
      <c r="Q43" s="20" t="s">
        <v>204</v>
      </c>
      <c r="R43" s="33" t="s">
        <v>40</v>
      </c>
      <c r="S43" s="1020" t="s">
        <v>100</v>
      </c>
      <c r="T43" s="1024">
        <v>32</v>
      </c>
      <c r="U43" s="1025">
        <v>1000</v>
      </c>
      <c r="V43" s="1025">
        <v>8</v>
      </c>
      <c r="W43" s="423" t="s">
        <v>50</v>
      </c>
      <c r="X43" s="267" t="s">
        <v>51</v>
      </c>
      <c r="Y43" s="1081" t="s">
        <v>229</v>
      </c>
      <c r="Z43" s="1081" t="s">
        <v>230</v>
      </c>
      <c r="AA43" s="1027"/>
      <c r="AB43" s="18"/>
      <c r="AC43" s="1028" t="s">
        <v>40</v>
      </c>
      <c r="AD43" t="s">
        <v>53</v>
      </c>
      <c r="AE43" s="1185" t="s">
        <v>54</v>
      </c>
    </row>
    <row r="44" spans="1:31" ht="15.75" customHeight="1">
      <c r="A44" s="1589"/>
      <c r="B44" s="33"/>
      <c r="C44" s="33"/>
      <c r="D44" s="33"/>
      <c r="E44" s="33"/>
      <c r="F44" s="33"/>
      <c r="G44" s="33"/>
      <c r="H44" s="33"/>
      <c r="I44" s="1461"/>
      <c r="J44" s="267" t="s">
        <v>41</v>
      </c>
      <c r="K44" s="20" t="s">
        <v>231</v>
      </c>
      <c r="L44" s="376" t="s">
        <v>232</v>
      </c>
      <c r="M44" s="1082" t="s">
        <v>233</v>
      </c>
      <c r="N44" s="1021" t="s">
        <v>234</v>
      </c>
      <c r="O44" s="1035" t="s">
        <v>46</v>
      </c>
      <c r="P44" s="1035" t="s">
        <v>40</v>
      </c>
      <c r="Q44" s="95" t="s">
        <v>235</v>
      </c>
      <c r="R44" s="1025" t="s">
        <v>40</v>
      </c>
      <c r="S44" s="1020" t="s">
        <v>64</v>
      </c>
      <c r="T44" s="1024">
        <v>6</v>
      </c>
      <c r="U44" s="1025">
        <v>60</v>
      </c>
      <c r="V44" s="1025">
        <v>2</v>
      </c>
      <c r="W44" s="423" t="s">
        <v>86</v>
      </c>
      <c r="X44" s="267" t="s">
        <v>51</v>
      </c>
      <c r="Y44" s="74" t="s">
        <v>52</v>
      </c>
      <c r="Z44" s="74" t="s">
        <v>52</v>
      </c>
      <c r="AA44" s="1027"/>
      <c r="AB44" s="18"/>
      <c r="AC44" s="1028" t="s">
        <v>40</v>
      </c>
      <c r="AD44" t="s">
        <v>53</v>
      </c>
      <c r="AE44" s="1185" t="s">
        <v>213</v>
      </c>
    </row>
    <row r="45" spans="1:31" s="109" customFormat="1" ht="15.75" customHeight="1">
      <c r="A45" s="1589"/>
      <c r="B45" s="35"/>
      <c r="C45" s="35"/>
      <c r="D45" s="35"/>
      <c r="E45" s="35"/>
      <c r="F45" s="35"/>
      <c r="G45" s="35"/>
      <c r="H45" s="35"/>
      <c r="I45" s="1461"/>
      <c r="J45" s="267" t="s">
        <v>41</v>
      </c>
      <c r="K45" s="1018" t="s">
        <v>236</v>
      </c>
      <c r="L45" s="376" t="s">
        <v>237</v>
      </c>
      <c r="M45" s="1019" t="s">
        <v>238</v>
      </c>
      <c r="N45" s="1083"/>
      <c r="O45" s="1035" t="s">
        <v>46</v>
      </c>
      <c r="P45" s="1035" t="s">
        <v>48</v>
      </c>
      <c r="Q45" s="1019" t="s">
        <v>239</v>
      </c>
      <c r="R45" s="1035" t="s">
        <v>40</v>
      </c>
      <c r="S45" s="1041" t="s">
        <v>138</v>
      </c>
      <c r="T45" s="1052">
        <v>4</v>
      </c>
      <c r="U45" s="1035">
        <v>80</v>
      </c>
      <c r="V45" s="1035">
        <v>2</v>
      </c>
      <c r="W45" s="423" t="s">
        <v>86</v>
      </c>
      <c r="X45" s="267" t="s">
        <v>51</v>
      </c>
      <c r="Y45" s="267"/>
      <c r="Z45" s="267"/>
      <c r="AA45" s="1072"/>
      <c r="AB45" s="1046"/>
      <c r="AC45" s="1047" t="s">
        <v>40</v>
      </c>
      <c r="AD45" s="109" t="s">
        <v>53</v>
      </c>
      <c r="AE45" s="1185" t="s">
        <v>127</v>
      </c>
    </row>
    <row r="46" spans="1:31" ht="15.75" customHeight="1">
      <c r="A46" s="1589"/>
      <c r="B46" s="33"/>
      <c r="C46" s="33"/>
      <c r="D46" s="33"/>
      <c r="E46" s="33"/>
      <c r="F46" s="33"/>
      <c r="G46" s="33"/>
      <c r="H46" s="33"/>
      <c r="I46" s="1461"/>
      <c r="J46" s="267" t="s">
        <v>41</v>
      </c>
      <c r="K46" s="20" t="s">
        <v>240</v>
      </c>
      <c r="L46" s="376" t="s">
        <v>241</v>
      </c>
      <c r="M46" s="1066" t="s">
        <v>242</v>
      </c>
      <c r="N46" s="25"/>
      <c r="O46" s="1035" t="s">
        <v>46</v>
      </c>
      <c r="P46" s="1035" t="s">
        <v>40</v>
      </c>
      <c r="Q46" s="1023" t="s">
        <v>63</v>
      </c>
      <c r="R46" s="1025" t="s">
        <v>40</v>
      </c>
      <c r="S46" s="1020" t="s">
        <v>138</v>
      </c>
      <c r="T46" s="1024">
        <v>32</v>
      </c>
      <c r="U46" s="1025">
        <f>100+20</f>
        <v>120</v>
      </c>
      <c r="V46" s="1025">
        <v>8</v>
      </c>
      <c r="W46" s="423" t="s">
        <v>86</v>
      </c>
      <c r="X46" s="267" t="s">
        <v>51</v>
      </c>
      <c r="Y46" s="74"/>
      <c r="Z46" s="74"/>
      <c r="AA46" s="1027"/>
      <c r="AB46" s="18"/>
      <c r="AC46" s="1028" t="s">
        <v>40</v>
      </c>
      <c r="AD46" t="s">
        <v>53</v>
      </c>
      <c r="AE46" s="1185" t="s">
        <v>117</v>
      </c>
    </row>
    <row r="47" spans="1:31" s="109" customFormat="1" ht="30" customHeight="1">
      <c r="A47" s="1589"/>
      <c r="B47" s="35"/>
      <c r="C47" s="35"/>
      <c r="D47" s="35"/>
      <c r="E47" s="35"/>
      <c r="F47" s="35"/>
      <c r="G47" s="35"/>
      <c r="H47" s="35"/>
      <c r="I47" s="1461"/>
      <c r="J47" s="267" t="s">
        <v>41</v>
      </c>
      <c r="K47" s="1019" t="s">
        <v>243</v>
      </c>
      <c r="L47" s="1084" t="s">
        <v>244</v>
      </c>
      <c r="M47" s="1062" t="s">
        <v>245</v>
      </c>
      <c r="N47" s="1085"/>
      <c r="O47" s="1035" t="s">
        <v>46</v>
      </c>
      <c r="P47" s="1035" t="s">
        <v>40</v>
      </c>
      <c r="Q47" s="1023" t="s">
        <v>63</v>
      </c>
      <c r="R47" s="35" t="s">
        <v>40</v>
      </c>
      <c r="S47" s="1019" t="s">
        <v>116</v>
      </c>
      <c r="T47" s="1052">
        <v>4</v>
      </c>
      <c r="U47" s="1087">
        <f>160+279.366+1000</f>
        <v>1439.366</v>
      </c>
      <c r="V47" s="1035">
        <v>2</v>
      </c>
      <c r="W47" s="423" t="s">
        <v>65</v>
      </c>
      <c r="X47" s="267" t="s">
        <v>51</v>
      </c>
      <c r="Y47" s="267"/>
      <c r="Z47" s="267"/>
      <c r="AA47" s="1027"/>
      <c r="AB47" s="18"/>
      <c r="AC47" s="1047" t="s">
        <v>40</v>
      </c>
      <c r="AD47" s="109" t="s">
        <v>53</v>
      </c>
      <c r="AE47" s="1186" t="s">
        <v>246</v>
      </c>
    </row>
    <row r="48" spans="1:31" ht="15.75" customHeight="1">
      <c r="A48" s="1589"/>
      <c r="B48" s="33"/>
      <c r="C48" s="33"/>
      <c r="D48" s="33"/>
      <c r="E48" s="33"/>
      <c r="F48" s="33"/>
      <c r="G48" s="33"/>
      <c r="H48" s="33"/>
      <c r="I48" s="1461"/>
      <c r="J48" s="267" t="s">
        <v>41</v>
      </c>
      <c r="K48" s="1082" t="s">
        <v>247</v>
      </c>
      <c r="L48" s="1041" t="s">
        <v>248</v>
      </c>
      <c r="M48" s="1088" t="s">
        <v>249</v>
      </c>
      <c r="N48" s="25"/>
      <c r="O48" s="1035" t="s">
        <v>40</v>
      </c>
      <c r="P48" s="1035" t="s">
        <v>46</v>
      </c>
      <c r="Q48" s="20" t="s">
        <v>204</v>
      </c>
      <c r="R48" s="33" t="s">
        <v>40</v>
      </c>
      <c r="S48" s="95" t="s">
        <v>85</v>
      </c>
      <c r="T48" s="1024">
        <v>8</v>
      </c>
      <c r="U48" s="1025">
        <v>250</v>
      </c>
      <c r="V48" s="1025">
        <v>4</v>
      </c>
      <c r="W48" s="423" t="s">
        <v>50</v>
      </c>
      <c r="X48" s="267" t="s">
        <v>200</v>
      </c>
      <c r="Y48" s="74" t="s">
        <v>52</v>
      </c>
      <c r="Z48" s="74" t="s">
        <v>52</v>
      </c>
      <c r="AA48" s="1027"/>
      <c r="AB48" s="18"/>
      <c r="AC48" s="1028" t="s">
        <v>40</v>
      </c>
      <c r="AD48" t="s">
        <v>53</v>
      </c>
      <c r="AE48" s="1186" t="s">
        <v>111</v>
      </c>
    </row>
    <row r="49" spans="1:31" ht="15.75" customHeight="1">
      <c r="A49" s="1589"/>
      <c r="B49" s="33" t="s">
        <v>62</v>
      </c>
      <c r="C49" s="33" t="s">
        <v>62</v>
      </c>
      <c r="D49" s="33"/>
      <c r="E49" s="33"/>
      <c r="F49" s="33" t="s">
        <v>62</v>
      </c>
      <c r="G49" s="33" t="s">
        <v>62</v>
      </c>
      <c r="H49" s="33" t="s">
        <v>62</v>
      </c>
      <c r="I49" s="1461"/>
      <c r="J49" s="267" t="s">
        <v>41</v>
      </c>
      <c r="K49" s="20" t="s">
        <v>250</v>
      </c>
      <c r="L49" s="376" t="s">
        <v>251</v>
      </c>
      <c r="M49" s="95" t="s">
        <v>252</v>
      </c>
      <c r="N49" s="1089" t="s">
        <v>253</v>
      </c>
      <c r="O49" s="1035" t="s">
        <v>40</v>
      </c>
      <c r="P49" s="1035" t="s">
        <v>46</v>
      </c>
      <c r="Q49" s="95" t="s">
        <v>99</v>
      </c>
      <c r="R49" s="1025" t="s">
        <v>40</v>
      </c>
      <c r="S49" s="1020" t="s">
        <v>187</v>
      </c>
      <c r="T49" s="1024">
        <v>30</v>
      </c>
      <c r="U49" s="1025">
        <v>100</v>
      </c>
      <c r="V49" s="1025">
        <v>8</v>
      </c>
      <c r="W49" s="423" t="s">
        <v>50</v>
      </c>
      <c r="X49" s="267" t="s">
        <v>51</v>
      </c>
      <c r="Y49" s="74" t="s">
        <v>52</v>
      </c>
      <c r="Z49" s="74" t="s">
        <v>52</v>
      </c>
      <c r="AA49" s="1027"/>
      <c r="AB49" s="18"/>
      <c r="AC49" s="1028" t="s">
        <v>40</v>
      </c>
      <c r="AD49" t="s">
        <v>53</v>
      </c>
      <c r="AE49" s="1185" t="s">
        <v>103</v>
      </c>
    </row>
    <row r="50" spans="1:31" s="109" customFormat="1" ht="15.75" customHeight="1">
      <c r="A50" s="1589"/>
      <c r="B50" s="35" t="s">
        <v>62</v>
      </c>
      <c r="C50" s="35" t="s">
        <v>62</v>
      </c>
      <c r="D50" s="35"/>
      <c r="E50" s="35"/>
      <c r="F50" s="35" t="s">
        <v>62</v>
      </c>
      <c r="G50" s="35" t="s">
        <v>62</v>
      </c>
      <c r="H50" s="35" t="s">
        <v>62</v>
      </c>
      <c r="I50" s="1461"/>
      <c r="J50" s="267" t="s">
        <v>41</v>
      </c>
      <c r="K50" s="1019" t="s">
        <v>254</v>
      </c>
      <c r="L50" s="1084" t="s">
        <v>255</v>
      </c>
      <c r="M50" s="1090" t="s">
        <v>256</v>
      </c>
      <c r="N50" s="1091" t="s">
        <v>62</v>
      </c>
      <c r="O50" s="1035" t="s">
        <v>40</v>
      </c>
      <c r="P50" s="1035" t="s">
        <v>46</v>
      </c>
      <c r="Q50" s="1019" t="s">
        <v>257</v>
      </c>
      <c r="R50" s="1035" t="s">
        <v>40</v>
      </c>
      <c r="S50" s="1019" t="s">
        <v>85</v>
      </c>
      <c r="T50" s="1052">
        <v>12</v>
      </c>
      <c r="U50" s="1035">
        <v>300</v>
      </c>
      <c r="V50" s="1035">
        <v>6</v>
      </c>
      <c r="W50" s="423" t="s">
        <v>86</v>
      </c>
      <c r="X50" s="267" t="s">
        <v>51</v>
      </c>
      <c r="Y50" s="267" t="s">
        <v>52</v>
      </c>
      <c r="Z50" s="267" t="s">
        <v>52</v>
      </c>
      <c r="AA50" s="1027"/>
      <c r="AB50" s="18"/>
      <c r="AC50" s="1047" t="s">
        <v>40</v>
      </c>
      <c r="AD50" s="109" t="s">
        <v>219</v>
      </c>
      <c r="AE50" s="1186" t="s">
        <v>246</v>
      </c>
    </row>
    <row r="51" spans="1:31" ht="15.75" customHeight="1">
      <c r="A51" s="1589"/>
      <c r="B51" s="33" t="s">
        <v>62</v>
      </c>
      <c r="C51" s="33" t="s">
        <v>62</v>
      </c>
      <c r="D51" s="33"/>
      <c r="E51" s="33"/>
      <c r="F51" s="33" t="s">
        <v>62</v>
      </c>
      <c r="G51" s="33" t="s">
        <v>62</v>
      </c>
      <c r="H51" s="33" t="s">
        <v>62</v>
      </c>
      <c r="I51" s="1461"/>
      <c r="J51" s="267" t="s">
        <v>41</v>
      </c>
      <c r="K51" s="20" t="s">
        <v>258</v>
      </c>
      <c r="L51" s="376" t="s">
        <v>259</v>
      </c>
      <c r="M51" s="95" t="s">
        <v>260</v>
      </c>
      <c r="N51" s="1089" t="s">
        <v>62</v>
      </c>
      <c r="O51" s="1035" t="s">
        <v>40</v>
      </c>
      <c r="P51" s="1035" t="s">
        <v>46</v>
      </c>
      <c r="Q51" s="95" t="s">
        <v>99</v>
      </c>
      <c r="R51" s="1025" t="s">
        <v>40</v>
      </c>
      <c r="S51" s="1020" t="s">
        <v>187</v>
      </c>
      <c r="T51" s="1024">
        <v>12</v>
      </c>
      <c r="U51" s="1025">
        <v>120</v>
      </c>
      <c r="V51" s="1025">
        <v>4</v>
      </c>
      <c r="W51" s="423" t="s">
        <v>50</v>
      </c>
      <c r="X51" s="267" t="s">
        <v>51</v>
      </c>
      <c r="Y51" s="74" t="s">
        <v>52</v>
      </c>
      <c r="Z51" s="74" t="s">
        <v>52</v>
      </c>
      <c r="AA51" s="1027"/>
      <c r="AB51" s="18"/>
      <c r="AC51" s="1028" t="s">
        <v>40</v>
      </c>
      <c r="AD51" t="s">
        <v>53</v>
      </c>
      <c r="AE51" s="1185" t="s">
        <v>103</v>
      </c>
    </row>
    <row r="52" spans="1:31" ht="15.75" customHeight="1">
      <c r="A52" s="1589"/>
      <c r="B52" s="33" t="s">
        <v>62</v>
      </c>
      <c r="C52" s="33" t="s">
        <v>62</v>
      </c>
      <c r="D52" s="33"/>
      <c r="E52" s="33"/>
      <c r="F52" s="33" t="s">
        <v>62</v>
      </c>
      <c r="G52" s="33" t="s">
        <v>62</v>
      </c>
      <c r="H52" s="33" t="s">
        <v>62</v>
      </c>
      <c r="I52" s="1461"/>
      <c r="J52" s="267" t="s">
        <v>41</v>
      </c>
      <c r="K52" s="20" t="s">
        <v>261</v>
      </c>
      <c r="L52" s="376" t="s">
        <v>262</v>
      </c>
      <c r="M52" s="95" t="s">
        <v>263</v>
      </c>
      <c r="N52" s="1089" t="s">
        <v>62</v>
      </c>
      <c r="O52" s="1035" t="s">
        <v>46</v>
      </c>
      <c r="P52" s="1035" t="s">
        <v>40</v>
      </c>
      <c r="Q52" s="95" t="s">
        <v>99</v>
      </c>
      <c r="R52" s="1025" t="s">
        <v>40</v>
      </c>
      <c r="S52" s="1020" t="s">
        <v>116</v>
      </c>
      <c r="T52" s="1024">
        <v>14</v>
      </c>
      <c r="U52" s="1025">
        <v>150</v>
      </c>
      <c r="V52" s="1025">
        <v>4</v>
      </c>
      <c r="W52" s="423" t="s">
        <v>50</v>
      </c>
      <c r="X52" s="267" t="s">
        <v>51</v>
      </c>
      <c r="Y52" s="74" t="s">
        <v>52</v>
      </c>
      <c r="Z52" s="74" t="s">
        <v>52</v>
      </c>
      <c r="AA52" s="1027"/>
      <c r="AB52" s="18"/>
      <c r="AC52" s="1028" t="s">
        <v>40</v>
      </c>
      <c r="AD52" t="s">
        <v>53</v>
      </c>
      <c r="AE52" s="1185" t="s">
        <v>264</v>
      </c>
    </row>
    <row r="53" spans="1:31" ht="15.75" customHeight="1">
      <c r="A53" s="1589"/>
      <c r="B53" s="33" t="s">
        <v>62</v>
      </c>
      <c r="C53" s="33" t="s">
        <v>62</v>
      </c>
      <c r="D53" s="33"/>
      <c r="E53" s="33"/>
      <c r="F53" s="33" t="s">
        <v>62</v>
      </c>
      <c r="G53" s="33" t="s">
        <v>62</v>
      </c>
      <c r="H53" s="33" t="s">
        <v>62</v>
      </c>
      <c r="I53" s="1461"/>
      <c r="J53" s="267" t="s">
        <v>41</v>
      </c>
      <c r="K53" s="20" t="s">
        <v>265</v>
      </c>
      <c r="L53" s="376" t="s">
        <v>266</v>
      </c>
      <c r="M53" s="95" t="s">
        <v>267</v>
      </c>
      <c r="N53" s="1089" t="s">
        <v>268</v>
      </c>
      <c r="O53" s="1035" t="s">
        <v>46</v>
      </c>
      <c r="P53" s="1035" t="s">
        <v>40</v>
      </c>
      <c r="Q53" s="95" t="s">
        <v>99</v>
      </c>
      <c r="R53" s="1074" t="s">
        <v>40</v>
      </c>
      <c r="S53" s="1020" t="s">
        <v>116</v>
      </c>
      <c r="T53" s="1024">
        <v>12</v>
      </c>
      <c r="U53" s="1025">
        <v>300</v>
      </c>
      <c r="V53" s="1025">
        <v>6</v>
      </c>
      <c r="W53" s="423" t="s">
        <v>50</v>
      </c>
      <c r="X53" s="1071" t="s">
        <v>51</v>
      </c>
      <c r="Y53" s="74" t="s">
        <v>52</v>
      </c>
      <c r="Z53" s="74" t="s">
        <v>52</v>
      </c>
      <c r="AA53" s="1027"/>
      <c r="AB53" s="18"/>
      <c r="AC53" s="1028" t="s">
        <v>40</v>
      </c>
      <c r="AD53" t="s">
        <v>53</v>
      </c>
      <c r="AE53" s="1185" t="s">
        <v>117</v>
      </c>
    </row>
    <row r="54" spans="1:31" ht="180" customHeight="1">
      <c r="A54" s="1589"/>
      <c r="B54" s="33"/>
      <c r="C54" s="33"/>
      <c r="D54" s="33"/>
      <c r="E54" s="33"/>
      <c r="F54" s="33"/>
      <c r="G54" s="33"/>
      <c r="H54" s="33"/>
      <c r="I54" s="1461"/>
      <c r="J54" s="267" t="s">
        <v>41</v>
      </c>
      <c r="K54" s="376" t="s">
        <v>269</v>
      </c>
      <c r="L54" s="1393" t="s">
        <v>270</v>
      </c>
      <c r="M54" s="376" t="s">
        <v>271</v>
      </c>
      <c r="N54" s="1061" t="s">
        <v>62</v>
      </c>
      <c r="O54" s="1037" t="s">
        <v>40</v>
      </c>
      <c r="P54" s="1037" t="s">
        <v>46</v>
      </c>
      <c r="Q54" s="1066" t="s">
        <v>99</v>
      </c>
      <c r="R54" s="267" t="s">
        <v>40</v>
      </c>
      <c r="S54" s="1070" t="s">
        <v>272</v>
      </c>
      <c r="T54" s="267">
        <v>8</v>
      </c>
      <c r="U54" s="267">
        <f>240+120</f>
        <v>360</v>
      </c>
      <c r="V54" s="267">
        <v>4</v>
      </c>
      <c r="W54" s="267" t="s">
        <v>65</v>
      </c>
      <c r="X54" s="267" t="s">
        <v>200</v>
      </c>
      <c r="Y54" s="267" t="s">
        <v>52</v>
      </c>
      <c r="Z54" s="267" t="s">
        <v>52</v>
      </c>
      <c r="AA54" s="1027"/>
      <c r="AB54" s="18"/>
      <c r="AC54" s="1047" t="s">
        <v>40</v>
      </c>
      <c r="AD54" t="s">
        <v>53</v>
      </c>
      <c r="AE54" s="1185" t="s">
        <v>103</v>
      </c>
    </row>
    <row r="55" spans="1:31" s="109" customFormat="1" ht="60" customHeight="1">
      <c r="A55" s="1589"/>
      <c r="B55" s="35" t="s">
        <v>62</v>
      </c>
      <c r="C55" s="35" t="s">
        <v>62</v>
      </c>
      <c r="D55" s="35"/>
      <c r="E55" s="35"/>
      <c r="F55" s="35" t="s">
        <v>62</v>
      </c>
      <c r="G55" s="35" t="s">
        <v>62</v>
      </c>
      <c r="H55" s="35" t="s">
        <v>62</v>
      </c>
      <c r="I55" s="1461"/>
      <c r="J55" s="267" t="s">
        <v>41</v>
      </c>
      <c r="K55" s="1019" t="s">
        <v>273</v>
      </c>
      <c r="L55" s="1084" t="s">
        <v>274</v>
      </c>
      <c r="M55" s="1041" t="s">
        <v>275</v>
      </c>
      <c r="N55" s="1091"/>
      <c r="O55" s="1037" t="s">
        <v>40</v>
      </c>
      <c r="P55" s="1037" t="s">
        <v>46</v>
      </c>
      <c r="Q55" s="1368" t="s">
        <v>99</v>
      </c>
      <c r="R55" s="74" t="s">
        <v>40</v>
      </c>
      <c r="S55" s="1019" t="s">
        <v>85</v>
      </c>
      <c r="T55" s="1052">
        <v>8</v>
      </c>
      <c r="U55" s="1035">
        <v>250</v>
      </c>
      <c r="V55" s="1035">
        <v>4</v>
      </c>
      <c r="W55" s="423" t="s">
        <v>50</v>
      </c>
      <c r="X55" s="267" t="s">
        <v>51</v>
      </c>
      <c r="Y55" s="267" t="s">
        <v>52</v>
      </c>
      <c r="Z55" s="267" t="s">
        <v>52</v>
      </c>
      <c r="AA55" s="1027"/>
      <c r="AB55" s="18"/>
      <c r="AC55" s="1047" t="s">
        <v>40</v>
      </c>
      <c r="AD55" s="109" t="s">
        <v>53</v>
      </c>
      <c r="AE55" s="1185" t="s">
        <v>87</v>
      </c>
    </row>
    <row r="56" spans="1:31" ht="15.75" customHeight="1">
      <c r="A56" s="1589"/>
      <c r="B56" s="33" t="s">
        <v>62</v>
      </c>
      <c r="C56" s="33" t="s">
        <v>62</v>
      </c>
      <c r="D56" s="33"/>
      <c r="E56" s="33"/>
      <c r="F56" s="33" t="s">
        <v>62</v>
      </c>
      <c r="G56" s="33" t="s">
        <v>62</v>
      </c>
      <c r="H56" s="33" t="s">
        <v>62</v>
      </c>
      <c r="I56" s="1461"/>
      <c r="J56" s="267" t="s">
        <v>41</v>
      </c>
      <c r="K56" s="1346" t="s">
        <v>276</v>
      </c>
      <c r="L56" s="376" t="s">
        <v>277</v>
      </c>
      <c r="M56" s="95" t="s">
        <v>278</v>
      </c>
      <c r="N56" s="1021" t="s">
        <v>62</v>
      </c>
      <c r="O56" s="1092" t="s">
        <v>46</v>
      </c>
      <c r="P56" s="1092" t="s">
        <v>40</v>
      </c>
      <c r="Q56" s="24" t="s">
        <v>204</v>
      </c>
      <c r="R56" s="74" t="s">
        <v>40</v>
      </c>
      <c r="S56" s="95" t="s">
        <v>168</v>
      </c>
      <c r="T56" s="1024">
        <v>4</v>
      </c>
      <c r="U56" s="1025">
        <v>300</v>
      </c>
      <c r="V56" s="1025">
        <v>2</v>
      </c>
      <c r="W56" s="423" t="s">
        <v>50</v>
      </c>
      <c r="X56" s="398" t="s">
        <v>51</v>
      </c>
      <c r="Y56" s="74" t="s">
        <v>181</v>
      </c>
      <c r="Z56" s="74" t="s">
        <v>279</v>
      </c>
      <c r="AA56" s="1027"/>
      <c r="AB56" s="18"/>
      <c r="AC56" s="1028" t="s">
        <v>40</v>
      </c>
      <c r="AD56" t="s">
        <v>53</v>
      </c>
      <c r="AE56" s="1185" t="s">
        <v>264</v>
      </c>
    </row>
    <row r="57" spans="1:31" s="109" customFormat="1" ht="90" customHeight="1">
      <c r="A57" s="1589"/>
      <c r="B57" s="35" t="s">
        <v>62</v>
      </c>
      <c r="C57" s="35" t="s">
        <v>62</v>
      </c>
      <c r="D57" s="35"/>
      <c r="E57" s="35"/>
      <c r="F57" s="35" t="s">
        <v>62</v>
      </c>
      <c r="G57" s="35" t="s">
        <v>62</v>
      </c>
      <c r="H57" s="35" t="s">
        <v>62</v>
      </c>
      <c r="I57" s="1461"/>
      <c r="J57" s="267" t="s">
        <v>41</v>
      </c>
      <c r="K57" s="376" t="s">
        <v>280</v>
      </c>
      <c r="L57" s="1018" t="s">
        <v>281</v>
      </c>
      <c r="M57" s="1019" t="s">
        <v>282</v>
      </c>
      <c r="N57" s="1042" t="s">
        <v>62</v>
      </c>
      <c r="O57" s="1037" t="s">
        <v>40</v>
      </c>
      <c r="P57" s="1037" t="s">
        <v>46</v>
      </c>
      <c r="Q57" s="1066" t="s">
        <v>99</v>
      </c>
      <c r="R57" s="74" t="s">
        <v>40</v>
      </c>
      <c r="S57" s="1019" t="s">
        <v>85</v>
      </c>
      <c r="T57" s="1052">
        <v>24</v>
      </c>
      <c r="U57" s="1035">
        <v>200</v>
      </c>
      <c r="V57" s="1035">
        <v>8</v>
      </c>
      <c r="W57" s="423" t="s">
        <v>50</v>
      </c>
      <c r="X57" s="267" t="s">
        <v>51</v>
      </c>
      <c r="Y57" s="278" t="s">
        <v>52</v>
      </c>
      <c r="Z57" s="267" t="s">
        <v>52</v>
      </c>
      <c r="AA57" s="1027"/>
      <c r="AB57" s="18"/>
      <c r="AC57" s="1047" t="s">
        <v>40</v>
      </c>
      <c r="AD57" s="109" t="s">
        <v>53</v>
      </c>
      <c r="AE57" s="1185" t="s">
        <v>264</v>
      </c>
    </row>
    <row r="58" spans="1:31" ht="15.75" customHeight="1">
      <c r="A58" s="1589"/>
      <c r="B58" s="33" t="s">
        <v>62</v>
      </c>
      <c r="C58" s="33" t="s">
        <v>62</v>
      </c>
      <c r="D58" s="33"/>
      <c r="E58" s="33"/>
      <c r="F58" s="33" t="s">
        <v>62</v>
      </c>
      <c r="G58" s="33" t="s">
        <v>62</v>
      </c>
      <c r="H58" s="33" t="s">
        <v>62</v>
      </c>
      <c r="I58" s="1461"/>
      <c r="J58" s="267" t="s">
        <v>41</v>
      </c>
      <c r="K58" s="20" t="s">
        <v>283</v>
      </c>
      <c r="L58" s="376" t="s">
        <v>284</v>
      </c>
      <c r="M58" s="95" t="s">
        <v>285</v>
      </c>
      <c r="N58" s="1021" t="s">
        <v>62</v>
      </c>
      <c r="O58" s="1092" t="s">
        <v>48</v>
      </c>
      <c r="P58" s="1092" t="s">
        <v>48</v>
      </c>
      <c r="Q58" s="95" t="s">
        <v>286</v>
      </c>
      <c r="R58" s="1025" t="s">
        <v>40</v>
      </c>
      <c r="S58" s="1020" t="s">
        <v>287</v>
      </c>
      <c r="T58" s="1024">
        <v>8</v>
      </c>
      <c r="U58" s="1025">
        <v>70</v>
      </c>
      <c r="V58" s="1025">
        <v>2</v>
      </c>
      <c r="W58" s="423" t="s">
        <v>50</v>
      </c>
      <c r="X58" s="267" t="s">
        <v>51</v>
      </c>
      <c r="Y58" s="1026" t="s">
        <v>52</v>
      </c>
      <c r="Z58" s="74" t="s">
        <v>52</v>
      </c>
      <c r="AA58" s="1027"/>
      <c r="AB58" s="18"/>
      <c r="AC58" s="1028" t="s">
        <v>40</v>
      </c>
      <c r="AD58" t="s">
        <v>53</v>
      </c>
      <c r="AE58" s="1185" t="s">
        <v>213</v>
      </c>
    </row>
    <row r="59" spans="1:31" ht="30" customHeight="1">
      <c r="A59" s="1589"/>
      <c r="B59" s="33"/>
      <c r="C59" s="33"/>
      <c r="D59" s="33"/>
      <c r="E59" s="33"/>
      <c r="F59" s="33"/>
      <c r="G59" s="33"/>
      <c r="H59" s="33"/>
      <c r="I59" s="1461"/>
      <c r="J59" s="267" t="s">
        <v>41</v>
      </c>
      <c r="K59" s="20" t="s">
        <v>288</v>
      </c>
      <c r="L59" s="1061" t="s">
        <v>289</v>
      </c>
      <c r="M59" s="1029" t="s">
        <v>290</v>
      </c>
      <c r="N59" s="21"/>
      <c r="O59" s="1037" t="s">
        <v>48</v>
      </c>
      <c r="P59" s="1037" t="s">
        <v>40</v>
      </c>
      <c r="Q59" s="20" t="s">
        <v>291</v>
      </c>
      <c r="R59" s="74" t="s">
        <v>40</v>
      </c>
      <c r="S59" s="20" t="s">
        <v>292</v>
      </c>
      <c r="T59" s="74">
        <v>16</v>
      </c>
      <c r="U59" s="74">
        <v>100</v>
      </c>
      <c r="V59" s="74">
        <v>4</v>
      </c>
      <c r="W59" s="276" t="s">
        <v>50</v>
      </c>
      <c r="X59" s="267" t="s">
        <v>51</v>
      </c>
      <c r="Y59" s="1026" t="s">
        <v>52</v>
      </c>
      <c r="Z59" s="74" t="s">
        <v>52</v>
      </c>
      <c r="AA59" s="1027"/>
      <c r="AB59" s="18"/>
      <c r="AC59" s="1028" t="s">
        <v>40</v>
      </c>
      <c r="AE59" s="1185" t="s">
        <v>213</v>
      </c>
    </row>
    <row r="60" spans="1:31" ht="15.75" customHeight="1">
      <c r="A60" s="1589"/>
      <c r="B60" s="33"/>
      <c r="C60" s="33"/>
      <c r="D60" s="33"/>
      <c r="E60" s="33"/>
      <c r="F60" s="33"/>
      <c r="G60" s="33"/>
      <c r="H60" s="33"/>
      <c r="I60" s="1461"/>
      <c r="J60" s="370" t="s">
        <v>41</v>
      </c>
      <c r="K60" s="20" t="s">
        <v>293</v>
      </c>
      <c r="L60" s="376" t="s">
        <v>294</v>
      </c>
      <c r="M60" s="20" t="s">
        <v>295</v>
      </c>
      <c r="N60" s="21"/>
      <c r="O60" s="1037" t="s">
        <v>40</v>
      </c>
      <c r="P60" s="1037" t="s">
        <v>46</v>
      </c>
      <c r="Q60" s="20" t="s">
        <v>296</v>
      </c>
      <c r="R60" s="74" t="s">
        <v>40</v>
      </c>
      <c r="S60" s="20" t="s">
        <v>297</v>
      </c>
      <c r="T60" s="74">
        <v>16</v>
      </c>
      <c r="U60" s="74">
        <v>500</v>
      </c>
      <c r="V60" s="74">
        <v>4</v>
      </c>
      <c r="W60" s="276" t="s">
        <v>50</v>
      </c>
      <c r="X60" s="267" t="s">
        <v>51</v>
      </c>
      <c r="Y60" s="278"/>
      <c r="Z60" s="267"/>
      <c r="AA60" s="1027"/>
      <c r="AB60" s="18"/>
      <c r="AC60" s="1028" t="s">
        <v>40</v>
      </c>
      <c r="AD60" t="s">
        <v>53</v>
      </c>
      <c r="AE60" s="1185" t="s">
        <v>213</v>
      </c>
    </row>
    <row r="61" spans="1:31" ht="15.75" customHeight="1">
      <c r="A61" s="1589"/>
      <c r="B61" s="33" t="s">
        <v>62</v>
      </c>
      <c r="C61" s="33" t="s">
        <v>62</v>
      </c>
      <c r="D61" s="33"/>
      <c r="E61" s="33"/>
      <c r="F61" s="33" t="s">
        <v>62</v>
      </c>
      <c r="G61" s="33" t="s">
        <v>62</v>
      </c>
      <c r="H61" s="33" t="s">
        <v>62</v>
      </c>
      <c r="I61" s="1461"/>
      <c r="J61" s="267" t="s">
        <v>41</v>
      </c>
      <c r="K61" s="20" t="s">
        <v>298</v>
      </c>
      <c r="L61" s="376" t="s">
        <v>299</v>
      </c>
      <c r="M61" s="95" t="s">
        <v>300</v>
      </c>
      <c r="N61" s="1021" t="s">
        <v>62</v>
      </c>
      <c r="O61" s="1037" t="s">
        <v>40</v>
      </c>
      <c r="P61" s="1037" t="s">
        <v>46</v>
      </c>
      <c r="Q61" s="95" t="s">
        <v>99</v>
      </c>
      <c r="R61" s="1074" t="s">
        <v>40</v>
      </c>
      <c r="S61" s="1020" t="s">
        <v>187</v>
      </c>
      <c r="T61" s="1024">
        <v>48</v>
      </c>
      <c r="U61" s="1025">
        <f>100+100</f>
        <v>200</v>
      </c>
      <c r="V61" s="1025">
        <v>2</v>
      </c>
      <c r="W61" s="423" t="s">
        <v>50</v>
      </c>
      <c r="X61" s="1071" t="s">
        <v>200</v>
      </c>
      <c r="Y61" s="1026" t="s">
        <v>52</v>
      </c>
      <c r="Z61" s="74" t="s">
        <v>52</v>
      </c>
      <c r="AA61" s="1027"/>
      <c r="AB61" s="18"/>
      <c r="AC61" s="1028" t="s">
        <v>40</v>
      </c>
      <c r="AD61" t="s">
        <v>53</v>
      </c>
      <c r="AE61" s="1185" t="s">
        <v>164</v>
      </c>
    </row>
    <row r="62" spans="1:31" ht="15.75" customHeight="1">
      <c r="A62" s="1589"/>
      <c r="B62" s="33" t="s">
        <v>62</v>
      </c>
      <c r="C62" s="33" t="s">
        <v>62</v>
      </c>
      <c r="D62" s="33"/>
      <c r="E62" s="33"/>
      <c r="F62" s="33" t="s">
        <v>62</v>
      </c>
      <c r="G62" s="33" t="s">
        <v>62</v>
      </c>
      <c r="H62" s="33" t="s">
        <v>62</v>
      </c>
      <c r="I62" s="1461"/>
      <c r="J62" s="267" t="s">
        <v>41</v>
      </c>
      <c r="K62" s="95" t="s">
        <v>301</v>
      </c>
      <c r="L62" s="1041" t="s">
        <v>302</v>
      </c>
      <c r="M62" s="1020" t="s">
        <v>303</v>
      </c>
      <c r="N62" s="1021" t="s">
        <v>304</v>
      </c>
      <c r="O62" s="1037" t="s">
        <v>40</v>
      </c>
      <c r="P62" s="1037" t="s">
        <v>46</v>
      </c>
      <c r="Q62" s="24" t="s">
        <v>305</v>
      </c>
      <c r="R62" s="74" t="s">
        <v>40</v>
      </c>
      <c r="S62" s="95" t="s">
        <v>187</v>
      </c>
      <c r="T62" s="1024">
        <v>16</v>
      </c>
      <c r="U62" s="1025">
        <v>300</v>
      </c>
      <c r="V62" s="1025">
        <v>2</v>
      </c>
      <c r="W62" s="423" t="s">
        <v>65</v>
      </c>
      <c r="X62" s="267" t="s">
        <v>200</v>
      </c>
      <c r="Y62" s="1026" t="s">
        <v>206</v>
      </c>
      <c r="Z62" s="74" t="s">
        <v>207</v>
      </c>
      <c r="AA62" s="1027"/>
      <c r="AB62" s="18"/>
      <c r="AC62" s="1028" t="s">
        <v>40</v>
      </c>
      <c r="AD62" t="s">
        <v>53</v>
      </c>
      <c r="AE62" s="1185" t="s">
        <v>103</v>
      </c>
    </row>
    <row r="63" spans="1:31" s="109" customFormat="1" ht="30" customHeight="1">
      <c r="A63" s="1589"/>
      <c r="B63" s="35"/>
      <c r="C63" s="35"/>
      <c r="D63" s="35"/>
      <c r="E63" s="35"/>
      <c r="F63" s="35"/>
      <c r="G63" s="35"/>
      <c r="H63" s="35"/>
      <c r="I63" s="1461"/>
      <c r="J63" s="267" t="s">
        <v>41</v>
      </c>
      <c r="K63" s="1018" t="s">
        <v>306</v>
      </c>
      <c r="L63" s="1018" t="s">
        <v>307</v>
      </c>
      <c r="M63" s="1019" t="s">
        <v>308</v>
      </c>
      <c r="N63" s="1042"/>
      <c r="O63" s="1092" t="s">
        <v>46</v>
      </c>
      <c r="P63" s="1092" t="s">
        <v>40</v>
      </c>
      <c r="Q63" s="1023" t="s">
        <v>63</v>
      </c>
      <c r="R63" s="267" t="s">
        <v>40</v>
      </c>
      <c r="S63" s="1019" t="s">
        <v>163</v>
      </c>
      <c r="T63" s="1052">
        <v>8</v>
      </c>
      <c r="U63" s="1035">
        <v>80</v>
      </c>
      <c r="V63" s="1035">
        <v>8</v>
      </c>
      <c r="W63" s="423" t="s">
        <v>50</v>
      </c>
      <c r="X63" s="267" t="s">
        <v>51</v>
      </c>
      <c r="Y63" s="278" t="s">
        <v>52</v>
      </c>
      <c r="Z63" s="267" t="s">
        <v>52</v>
      </c>
      <c r="AA63" s="1027"/>
      <c r="AB63" s="18"/>
      <c r="AC63" s="1047" t="s">
        <v>40</v>
      </c>
      <c r="AD63" s="109" t="s">
        <v>53</v>
      </c>
      <c r="AE63" s="1185" t="s">
        <v>127</v>
      </c>
    </row>
    <row r="64" spans="1:31" s="109" customFormat="1" ht="15.75" customHeight="1">
      <c r="A64" s="1589"/>
      <c r="B64" s="35" t="s">
        <v>62</v>
      </c>
      <c r="C64" s="35" t="s">
        <v>62</v>
      </c>
      <c r="D64" s="35"/>
      <c r="E64" s="35"/>
      <c r="F64" s="35" t="s">
        <v>62</v>
      </c>
      <c r="G64" s="35" t="s">
        <v>62</v>
      </c>
      <c r="H64" s="35" t="s">
        <v>62</v>
      </c>
      <c r="I64" s="1461"/>
      <c r="J64" s="267" t="s">
        <v>41</v>
      </c>
      <c r="K64" s="376" t="s">
        <v>309</v>
      </c>
      <c r="L64" s="376" t="s">
        <v>310</v>
      </c>
      <c r="M64" s="1019" t="s">
        <v>311</v>
      </c>
      <c r="N64" s="1042" t="s">
        <v>62</v>
      </c>
      <c r="O64" s="1037" t="s">
        <v>40</v>
      </c>
      <c r="P64" s="1037" t="s">
        <v>46</v>
      </c>
      <c r="Q64" s="95" t="s">
        <v>99</v>
      </c>
      <c r="R64" s="1025" t="s">
        <v>40</v>
      </c>
      <c r="S64" s="1041" t="s">
        <v>187</v>
      </c>
      <c r="T64" s="1052">
        <v>48</v>
      </c>
      <c r="U64" s="1035">
        <v>120</v>
      </c>
      <c r="V64" s="1035">
        <v>2</v>
      </c>
      <c r="W64" s="423" t="s">
        <v>65</v>
      </c>
      <c r="X64" s="267" t="s">
        <v>200</v>
      </c>
      <c r="Y64" s="278" t="s">
        <v>52</v>
      </c>
      <c r="Z64" s="267" t="s">
        <v>52</v>
      </c>
      <c r="AA64" s="1027"/>
      <c r="AB64" s="1046"/>
      <c r="AC64" s="1047" t="s">
        <v>40</v>
      </c>
      <c r="AD64" s="109" t="s">
        <v>53</v>
      </c>
      <c r="AE64" s="1185" t="s">
        <v>164</v>
      </c>
    </row>
    <row r="65" spans="1:31" s="109" customFormat="1" ht="60" customHeight="1">
      <c r="A65" s="1589"/>
      <c r="B65" s="35"/>
      <c r="C65" s="35"/>
      <c r="D65" s="35"/>
      <c r="E65" s="35"/>
      <c r="F65" s="35"/>
      <c r="G65" s="35"/>
      <c r="H65" s="35"/>
      <c r="I65" s="1461"/>
      <c r="J65" s="267" t="s">
        <v>41</v>
      </c>
      <c r="K65" s="376" t="s">
        <v>312</v>
      </c>
      <c r="L65" s="1018" t="s">
        <v>313</v>
      </c>
      <c r="M65" s="376" t="s">
        <v>314</v>
      </c>
      <c r="N65" s="376" t="s">
        <v>315</v>
      </c>
      <c r="O65" s="1037" t="s">
        <v>40</v>
      </c>
      <c r="P65" s="1037" t="s">
        <v>46</v>
      </c>
      <c r="Q65" s="376" t="s">
        <v>316</v>
      </c>
      <c r="R65" s="267" t="s">
        <v>40</v>
      </c>
      <c r="S65" s="376" t="s">
        <v>317</v>
      </c>
      <c r="T65" s="267">
        <v>196</v>
      </c>
      <c r="U65" s="267">
        <f>279.37+1000</f>
        <v>1279.3699999999999</v>
      </c>
      <c r="V65" s="267">
        <v>24</v>
      </c>
      <c r="W65" s="276" t="s">
        <v>50</v>
      </c>
      <c r="X65" s="267" t="s">
        <v>51</v>
      </c>
      <c r="Y65" s="278" t="s">
        <v>52</v>
      </c>
      <c r="Z65" s="267" t="s">
        <v>52</v>
      </c>
      <c r="AA65" s="1027"/>
      <c r="AB65" s="18"/>
      <c r="AC65" s="1047" t="s">
        <v>40</v>
      </c>
      <c r="AD65" s="109" t="s">
        <v>53</v>
      </c>
      <c r="AE65" s="1186" t="s">
        <v>318</v>
      </c>
    </row>
    <row r="66" spans="1:31" ht="15.75" customHeight="1">
      <c r="A66" s="1589"/>
      <c r="B66" s="33" t="s">
        <v>62</v>
      </c>
      <c r="C66" s="33" t="s">
        <v>62</v>
      </c>
      <c r="D66" s="33"/>
      <c r="E66" s="33"/>
      <c r="F66" s="33" t="s">
        <v>62</v>
      </c>
      <c r="G66" s="33" t="s">
        <v>62</v>
      </c>
      <c r="H66" s="33" t="s">
        <v>62</v>
      </c>
      <c r="I66" s="1461"/>
      <c r="J66" s="267" t="s">
        <v>41</v>
      </c>
      <c r="K66" s="95" t="s">
        <v>319</v>
      </c>
      <c r="L66" s="1041" t="s">
        <v>320</v>
      </c>
      <c r="M66" s="1020" t="s">
        <v>321</v>
      </c>
      <c r="N66" s="1021" t="s">
        <v>62</v>
      </c>
      <c r="O66" s="1037" t="s">
        <v>40</v>
      </c>
      <c r="P66" s="1037" t="s">
        <v>46</v>
      </c>
      <c r="Q66" s="95" t="s">
        <v>99</v>
      </c>
      <c r="R66" s="1025" t="s">
        <v>40</v>
      </c>
      <c r="S66" s="95" t="s">
        <v>100</v>
      </c>
      <c r="T66" s="1024">
        <v>12</v>
      </c>
      <c r="U66" s="1025">
        <f>250+50</f>
        <v>300</v>
      </c>
      <c r="V66" s="1025">
        <v>6</v>
      </c>
      <c r="W66" s="423" t="s">
        <v>50</v>
      </c>
      <c r="X66" s="267" t="s">
        <v>51</v>
      </c>
      <c r="Y66" s="1026" t="s">
        <v>52</v>
      </c>
      <c r="Z66" s="74" t="s">
        <v>52</v>
      </c>
      <c r="AA66" s="1027"/>
      <c r="AB66" s="18"/>
      <c r="AC66" s="1028" t="s">
        <v>40</v>
      </c>
      <c r="AD66" t="s">
        <v>53</v>
      </c>
      <c r="AE66" s="1185" t="s">
        <v>164</v>
      </c>
    </row>
    <row r="67" spans="1:31" ht="15.75" customHeight="1">
      <c r="A67" s="1589"/>
      <c r="B67" s="33" t="s">
        <v>62</v>
      </c>
      <c r="C67" s="33" t="s">
        <v>62</v>
      </c>
      <c r="D67" s="33"/>
      <c r="E67" s="33"/>
      <c r="F67" s="33" t="s">
        <v>62</v>
      </c>
      <c r="G67" s="33" t="s">
        <v>62</v>
      </c>
      <c r="H67" s="33" t="s">
        <v>62</v>
      </c>
      <c r="I67" s="1461"/>
      <c r="J67" s="398" t="s">
        <v>41</v>
      </c>
      <c r="K67" s="1073" t="s">
        <v>322</v>
      </c>
      <c r="L67" s="1093" t="s">
        <v>323</v>
      </c>
      <c r="M67" s="1094" t="s">
        <v>324</v>
      </c>
      <c r="N67" s="1095" t="s">
        <v>62</v>
      </c>
      <c r="O67" s="1037" t="s">
        <v>40</v>
      </c>
      <c r="P67" s="1037" t="s">
        <v>46</v>
      </c>
      <c r="Q67" s="95" t="s">
        <v>99</v>
      </c>
      <c r="R67" s="1074" t="s">
        <v>40</v>
      </c>
      <c r="S67" s="1073" t="s">
        <v>85</v>
      </c>
      <c r="T67" s="1096">
        <v>20</v>
      </c>
      <c r="U67" s="1074">
        <v>250</v>
      </c>
      <c r="V67" s="1074">
        <v>8</v>
      </c>
      <c r="W67" s="423" t="s">
        <v>86</v>
      </c>
      <c r="X67" s="267" t="s">
        <v>200</v>
      </c>
      <c r="Y67" s="1026" t="s">
        <v>52</v>
      </c>
      <c r="Z67" s="74" t="s">
        <v>52</v>
      </c>
      <c r="AA67" s="1027"/>
      <c r="AB67" s="18"/>
      <c r="AC67" s="1028" t="s">
        <v>40</v>
      </c>
      <c r="AD67" t="s">
        <v>53</v>
      </c>
      <c r="AE67" s="1186" t="s">
        <v>111</v>
      </c>
    </row>
    <row r="68" spans="1:31" ht="30" customHeight="1">
      <c r="A68" s="1589"/>
      <c r="B68" s="33" t="s">
        <v>62</v>
      </c>
      <c r="C68" s="33" t="s">
        <v>62</v>
      </c>
      <c r="D68" s="33"/>
      <c r="E68" s="33"/>
      <c r="F68" s="33" t="s">
        <v>62</v>
      </c>
      <c r="G68" s="33" t="s">
        <v>62</v>
      </c>
      <c r="H68" s="33" t="s">
        <v>62</v>
      </c>
      <c r="I68" s="1461"/>
      <c r="J68" s="1097" t="s">
        <v>41</v>
      </c>
      <c r="K68" s="1064" t="s">
        <v>325</v>
      </c>
      <c r="L68" s="1392" t="s">
        <v>326</v>
      </c>
      <c r="M68" s="1099" t="s">
        <v>327</v>
      </c>
      <c r="N68" s="1100"/>
      <c r="O68" s="1037" t="s">
        <v>40</v>
      </c>
      <c r="P68" s="1037" t="s">
        <v>46</v>
      </c>
      <c r="Q68" s="376" t="s">
        <v>328</v>
      </c>
      <c r="R68" s="267" t="s">
        <v>40</v>
      </c>
      <c r="S68" s="1064" t="s">
        <v>85</v>
      </c>
      <c r="T68" s="1101">
        <v>8</v>
      </c>
      <c r="U68" s="1101">
        <v>120</v>
      </c>
      <c r="V68" s="1101">
        <v>4</v>
      </c>
      <c r="W68" s="267" t="s">
        <v>50</v>
      </c>
      <c r="X68" s="267" t="s">
        <v>51</v>
      </c>
      <c r="Y68" s="74" t="s">
        <v>52</v>
      </c>
      <c r="Z68" s="74" t="s">
        <v>52</v>
      </c>
      <c r="AA68" s="20"/>
      <c r="AB68" s="20"/>
      <c r="AC68" s="27" t="s">
        <v>329</v>
      </c>
      <c r="AD68" t="s">
        <v>53</v>
      </c>
      <c r="AE68" s="1185" t="s">
        <v>164</v>
      </c>
    </row>
    <row r="69" spans="1:31" ht="15.75" customHeight="1">
      <c r="A69" s="1589"/>
      <c r="B69" s="33" t="s">
        <v>62</v>
      </c>
      <c r="C69" s="33" t="s">
        <v>62</v>
      </c>
      <c r="D69" s="33"/>
      <c r="E69" s="33"/>
      <c r="F69" s="33" t="s">
        <v>62</v>
      </c>
      <c r="G69" s="33" t="s">
        <v>62</v>
      </c>
      <c r="H69" s="33" t="s">
        <v>62</v>
      </c>
      <c r="I69" s="1461"/>
      <c r="J69" s="267" t="s">
        <v>41</v>
      </c>
      <c r="K69" s="20" t="s">
        <v>330</v>
      </c>
      <c r="L69" s="376" t="s">
        <v>331</v>
      </c>
      <c r="M69" s="20" t="s">
        <v>332</v>
      </c>
      <c r="N69" s="21"/>
      <c r="O69" s="1092" t="s">
        <v>46</v>
      </c>
      <c r="P69" s="1092" t="s">
        <v>40</v>
      </c>
      <c r="Q69" s="1023" t="s">
        <v>63</v>
      </c>
      <c r="R69" s="1067" t="s">
        <v>40</v>
      </c>
      <c r="S69" s="20" t="s">
        <v>333</v>
      </c>
      <c r="T69" s="74">
        <v>4</v>
      </c>
      <c r="U69" s="74">
        <v>80</v>
      </c>
      <c r="V69" s="74">
        <v>4</v>
      </c>
      <c r="W69" s="423" t="s">
        <v>86</v>
      </c>
      <c r="X69" s="267" t="s">
        <v>51</v>
      </c>
      <c r="Y69" s="1026"/>
      <c r="Z69" s="74"/>
      <c r="AA69" s="1027"/>
      <c r="AB69" s="18"/>
      <c r="AC69" s="1028" t="s">
        <v>40</v>
      </c>
      <c r="AD69" t="s">
        <v>53</v>
      </c>
      <c r="AE69" s="1185" t="s">
        <v>213</v>
      </c>
    </row>
    <row r="70" spans="1:31" ht="15.75" customHeight="1">
      <c r="A70" s="1589"/>
      <c r="B70" s="33" t="s">
        <v>62</v>
      </c>
      <c r="C70" s="33" t="s">
        <v>62</v>
      </c>
      <c r="D70" s="33"/>
      <c r="E70" s="33"/>
      <c r="F70" s="33" t="s">
        <v>62</v>
      </c>
      <c r="G70" s="33" t="s">
        <v>62</v>
      </c>
      <c r="H70" s="33" t="s">
        <v>62</v>
      </c>
      <c r="I70" s="1461"/>
      <c r="J70" s="267" t="s">
        <v>41</v>
      </c>
      <c r="K70" s="95" t="s">
        <v>334</v>
      </c>
      <c r="L70" s="1041" t="s">
        <v>335</v>
      </c>
      <c r="M70" s="1020" t="s">
        <v>336</v>
      </c>
      <c r="N70" s="1089" t="s">
        <v>62</v>
      </c>
      <c r="O70" s="1092" t="s">
        <v>46</v>
      </c>
      <c r="P70" s="1092" t="s">
        <v>40</v>
      </c>
      <c r="Q70" s="1066" t="s">
        <v>99</v>
      </c>
      <c r="R70" s="74" t="s">
        <v>40</v>
      </c>
      <c r="S70" s="95" t="s">
        <v>85</v>
      </c>
      <c r="T70" s="1024">
        <v>24</v>
      </c>
      <c r="U70" s="1025">
        <v>200</v>
      </c>
      <c r="V70" s="1025">
        <v>6</v>
      </c>
      <c r="W70" s="423" t="s">
        <v>50</v>
      </c>
      <c r="X70" s="267" t="s">
        <v>51</v>
      </c>
      <c r="Y70" s="1026" t="s">
        <v>52</v>
      </c>
      <c r="Z70" s="74" t="s">
        <v>52</v>
      </c>
      <c r="AA70" s="1027"/>
      <c r="AB70" s="18"/>
      <c r="AC70" s="1028" t="s">
        <v>40</v>
      </c>
      <c r="AD70" t="s">
        <v>53</v>
      </c>
    </row>
    <row r="71" spans="1:31" ht="15.75" customHeight="1">
      <c r="A71" s="1589"/>
      <c r="B71" s="33" t="s">
        <v>62</v>
      </c>
      <c r="C71" s="33" t="s">
        <v>62</v>
      </c>
      <c r="D71" s="33"/>
      <c r="E71" s="33"/>
      <c r="F71" s="33" t="s">
        <v>62</v>
      </c>
      <c r="G71" s="33" t="s">
        <v>62</v>
      </c>
      <c r="H71" s="33" t="s">
        <v>62</v>
      </c>
      <c r="I71" s="1461"/>
      <c r="J71" s="267" t="s">
        <v>41</v>
      </c>
      <c r="K71" s="95" t="s">
        <v>337</v>
      </c>
      <c r="L71" s="1041" t="s">
        <v>338</v>
      </c>
      <c r="M71" s="1020" t="s">
        <v>339</v>
      </c>
      <c r="N71" s="1021" t="s">
        <v>340</v>
      </c>
      <c r="O71" s="1092" t="s">
        <v>46</v>
      </c>
      <c r="P71" s="1092" t="s">
        <v>40</v>
      </c>
      <c r="Q71" s="24" t="s">
        <v>305</v>
      </c>
      <c r="R71" s="74" t="s">
        <v>40</v>
      </c>
      <c r="S71" s="95" t="s">
        <v>180</v>
      </c>
      <c r="T71" s="1024">
        <v>16</v>
      </c>
      <c r="U71" s="1025">
        <v>200</v>
      </c>
      <c r="V71" s="1025">
        <v>4</v>
      </c>
      <c r="W71" s="423" t="s">
        <v>50</v>
      </c>
      <c r="X71" s="267" t="s">
        <v>51</v>
      </c>
      <c r="Y71" s="1026" t="s">
        <v>181</v>
      </c>
      <c r="Z71" s="74" t="s">
        <v>341</v>
      </c>
      <c r="AA71" s="1027"/>
      <c r="AB71" s="18"/>
      <c r="AC71" s="1028" t="s">
        <v>40</v>
      </c>
      <c r="AD71" t="s">
        <v>53</v>
      </c>
      <c r="AE71" s="1185" t="s">
        <v>87</v>
      </c>
    </row>
    <row r="72" spans="1:31" ht="15.75" customHeight="1">
      <c r="A72" s="1589"/>
      <c r="B72" s="33"/>
      <c r="C72" s="33"/>
      <c r="D72" s="33"/>
      <c r="E72" s="33"/>
      <c r="F72" s="33"/>
      <c r="G72" s="33"/>
      <c r="H72" s="33"/>
      <c r="I72" s="1461"/>
      <c r="J72" s="267" t="s">
        <v>41</v>
      </c>
      <c r="K72" s="1156" t="s">
        <v>342</v>
      </c>
      <c r="L72" s="1054" t="s">
        <v>343</v>
      </c>
      <c r="M72" s="1094" t="s">
        <v>344</v>
      </c>
      <c r="N72" s="1095"/>
      <c r="O72" s="1102" t="s">
        <v>46</v>
      </c>
      <c r="P72" s="1102" t="s">
        <v>345</v>
      </c>
      <c r="Q72" s="1385" t="s">
        <v>204</v>
      </c>
      <c r="R72" s="1067" t="s">
        <v>40</v>
      </c>
      <c r="S72" s="1073" t="s">
        <v>180</v>
      </c>
      <c r="T72" s="1096">
        <v>16</v>
      </c>
      <c r="U72" s="1074">
        <v>200</v>
      </c>
      <c r="V72" s="1025">
        <v>4</v>
      </c>
      <c r="W72" s="423" t="s">
        <v>50</v>
      </c>
      <c r="X72" s="267" t="s">
        <v>346</v>
      </c>
      <c r="Y72" s="1026" t="s">
        <v>181</v>
      </c>
      <c r="Z72" s="74" t="s">
        <v>341</v>
      </c>
      <c r="AA72" s="1027"/>
      <c r="AB72" s="18"/>
      <c r="AC72" s="1028" t="s">
        <v>40</v>
      </c>
      <c r="AD72" t="s">
        <v>53</v>
      </c>
      <c r="AE72" s="1186" t="s">
        <v>246</v>
      </c>
    </row>
    <row r="73" spans="1:31" ht="30" customHeight="1">
      <c r="A73" s="1589"/>
      <c r="B73" s="33"/>
      <c r="C73" s="33"/>
      <c r="D73" s="33"/>
      <c r="E73" s="33"/>
      <c r="F73" s="33"/>
      <c r="G73" s="33"/>
      <c r="H73" s="33"/>
      <c r="I73" s="1461"/>
      <c r="J73" s="276" t="s">
        <v>41</v>
      </c>
      <c r="K73" s="1064" t="s">
        <v>347</v>
      </c>
      <c r="L73" s="376" t="s">
        <v>348</v>
      </c>
      <c r="M73" s="20" t="s">
        <v>349</v>
      </c>
      <c r="N73" s="21"/>
      <c r="O73" s="1022" t="s">
        <v>46</v>
      </c>
      <c r="P73" s="1022" t="s">
        <v>345</v>
      </c>
      <c r="Q73" s="1029" t="s">
        <v>350</v>
      </c>
      <c r="R73" s="74" t="s">
        <v>40</v>
      </c>
      <c r="S73" s="20" t="s">
        <v>351</v>
      </c>
      <c r="T73" s="74">
        <v>8</v>
      </c>
      <c r="U73" s="74">
        <v>150</v>
      </c>
      <c r="V73" s="1074">
        <v>4</v>
      </c>
      <c r="W73" s="423" t="s">
        <v>50</v>
      </c>
      <c r="X73" s="1071" t="s">
        <v>51</v>
      </c>
      <c r="Y73" s="1026"/>
      <c r="Z73" s="74"/>
      <c r="AA73" s="1027"/>
      <c r="AB73" s="18"/>
      <c r="AC73" s="1028" t="s">
        <v>40</v>
      </c>
      <c r="AD73" t="s">
        <v>53</v>
      </c>
      <c r="AE73" s="1186" t="s">
        <v>352</v>
      </c>
    </row>
    <row r="74" spans="1:31" s="781" customFormat="1" ht="15.75" customHeight="1">
      <c r="A74" s="1589"/>
      <c r="B74" s="1106" t="s">
        <v>62</v>
      </c>
      <c r="C74" s="1106" t="s">
        <v>62</v>
      </c>
      <c r="D74" s="1106"/>
      <c r="E74" s="1106"/>
      <c r="F74" s="1106" t="s">
        <v>62</v>
      </c>
      <c r="G74" s="1106" t="s">
        <v>62</v>
      </c>
      <c r="H74" s="1106" t="s">
        <v>62</v>
      </c>
      <c r="I74" s="1461"/>
      <c r="J74" s="1107" t="s">
        <v>41</v>
      </c>
      <c r="K74" s="1346" t="s">
        <v>353</v>
      </c>
      <c r="L74" s="1108" t="s">
        <v>354</v>
      </c>
      <c r="M74" s="1064" t="s">
        <v>355</v>
      </c>
      <c r="N74" s="1100" t="s">
        <v>62</v>
      </c>
      <c r="O74" s="1109" t="s">
        <v>46</v>
      </c>
      <c r="P74" s="1109" t="s">
        <v>40</v>
      </c>
      <c r="Q74" s="1064" t="s">
        <v>356</v>
      </c>
      <c r="R74" s="1101" t="s">
        <v>40</v>
      </c>
      <c r="S74" s="1064" t="s">
        <v>116</v>
      </c>
      <c r="T74" s="1101">
        <v>32</v>
      </c>
      <c r="U74" s="1101">
        <v>350</v>
      </c>
      <c r="V74" s="1157">
        <v>4</v>
      </c>
      <c r="W74" s="1158" t="s">
        <v>50</v>
      </c>
      <c r="X74" s="1071" t="s">
        <v>51</v>
      </c>
      <c r="Y74" s="1110" t="s">
        <v>181</v>
      </c>
      <c r="Z74" s="1101" t="s">
        <v>357</v>
      </c>
      <c r="AA74" s="1111"/>
      <c r="AB74" s="1112"/>
      <c r="AC74" s="1159" t="s">
        <v>40</v>
      </c>
      <c r="AD74" s="781" t="s">
        <v>53</v>
      </c>
      <c r="AE74" s="1187" t="s">
        <v>111</v>
      </c>
    </row>
    <row r="75" spans="1:31" s="781" customFormat="1" ht="15.75" customHeight="1">
      <c r="A75" s="1589"/>
      <c r="B75" s="1106"/>
      <c r="C75" s="1106"/>
      <c r="D75" s="1106"/>
      <c r="E75" s="1106"/>
      <c r="F75" s="1106"/>
      <c r="G75" s="1106"/>
      <c r="H75" s="1106"/>
      <c r="I75" s="1461"/>
      <c r="J75" s="1107" t="s">
        <v>41</v>
      </c>
      <c r="K75" s="1099" t="s">
        <v>358</v>
      </c>
      <c r="L75" s="1386" t="s">
        <v>359</v>
      </c>
      <c r="M75" s="1099" t="s">
        <v>360</v>
      </c>
      <c r="N75" s="1387"/>
      <c r="O75" s="1092" t="s">
        <v>46</v>
      </c>
      <c r="P75" s="1388" t="s">
        <v>40</v>
      </c>
      <c r="Q75" s="1389" t="s">
        <v>235</v>
      </c>
      <c r="R75" s="1390" t="s">
        <v>40</v>
      </c>
      <c r="S75" s="1086" t="s">
        <v>163</v>
      </c>
      <c r="T75" s="1390">
        <v>12</v>
      </c>
      <c r="U75" s="1390">
        <v>150</v>
      </c>
      <c r="V75" s="1101">
        <v>2</v>
      </c>
      <c r="W75" s="423" t="s">
        <v>86</v>
      </c>
      <c r="X75" s="1071" t="s">
        <v>51</v>
      </c>
      <c r="Y75" s="1110"/>
      <c r="Z75" s="1101"/>
      <c r="AA75" s="1111"/>
      <c r="AB75" s="1112"/>
      <c r="AC75" s="1113" t="s">
        <v>40</v>
      </c>
      <c r="AD75" s="771" t="s">
        <v>134</v>
      </c>
      <c r="AE75" s="1188" t="s">
        <v>361</v>
      </c>
    </row>
    <row r="76" spans="1:31" s="771" customFormat="1" ht="30" customHeight="1">
      <c r="A76" s="1589"/>
      <c r="B76" s="1114"/>
      <c r="C76" s="1114"/>
      <c r="D76" s="1114"/>
      <c r="E76" s="1114"/>
      <c r="F76" s="1114"/>
      <c r="G76" s="1114"/>
      <c r="H76" s="1114"/>
      <c r="I76" s="1461"/>
      <c r="J76" s="276" t="s">
        <v>41</v>
      </c>
      <c r="K76" s="1115" t="s">
        <v>362</v>
      </c>
      <c r="L76" s="1108" t="s">
        <v>363</v>
      </c>
      <c r="M76" s="1115" t="s">
        <v>364</v>
      </c>
      <c r="N76" s="1098"/>
      <c r="O76" s="1092" t="s">
        <v>46</v>
      </c>
      <c r="P76" s="1109" t="s">
        <v>40</v>
      </c>
      <c r="Q76" s="1108" t="s">
        <v>365</v>
      </c>
      <c r="R76" s="1116" t="s">
        <v>40</v>
      </c>
      <c r="S76" s="1115" t="s">
        <v>116</v>
      </c>
      <c r="T76" s="1071">
        <v>8</v>
      </c>
      <c r="U76" s="1071">
        <v>150</v>
      </c>
      <c r="V76" s="1071">
        <v>4</v>
      </c>
      <c r="W76" s="423" t="s">
        <v>86</v>
      </c>
      <c r="X76" s="1071" t="s">
        <v>346</v>
      </c>
      <c r="Y76" s="1097"/>
      <c r="Z76" s="1071"/>
      <c r="AA76" s="1117"/>
      <c r="AB76" s="1118"/>
      <c r="AC76" s="1113" t="s">
        <v>40</v>
      </c>
      <c r="AD76" s="771" t="s">
        <v>134</v>
      </c>
      <c r="AE76" s="1188" t="s">
        <v>361</v>
      </c>
    </row>
    <row r="77" spans="1:31" s="109" customFormat="1" ht="60" customHeight="1">
      <c r="A77" s="1589"/>
      <c r="B77" s="35" t="s">
        <v>62</v>
      </c>
      <c r="C77" s="35" t="s">
        <v>62</v>
      </c>
      <c r="D77" s="35"/>
      <c r="E77" s="35"/>
      <c r="F77" s="35" t="s">
        <v>62</v>
      </c>
      <c r="G77" s="35" t="s">
        <v>62</v>
      </c>
      <c r="H77" s="35" t="s">
        <v>62</v>
      </c>
      <c r="I77" s="1461"/>
      <c r="J77" s="267" t="s">
        <v>41</v>
      </c>
      <c r="K77" s="377" t="s">
        <v>366</v>
      </c>
      <c r="L77" s="377" t="s">
        <v>367</v>
      </c>
      <c r="M77" s="377" t="s">
        <v>368</v>
      </c>
      <c r="N77" s="1119" t="s">
        <v>62</v>
      </c>
      <c r="O77" s="1037" t="s">
        <v>40</v>
      </c>
      <c r="P77" s="1037" t="s">
        <v>46</v>
      </c>
      <c r="Q77" s="1120" t="s">
        <v>369</v>
      </c>
      <c r="R77" s="1121" t="s">
        <v>40</v>
      </c>
      <c r="S77" s="377" t="s">
        <v>85</v>
      </c>
      <c r="T77" s="370">
        <v>20</v>
      </c>
      <c r="U77" s="370">
        <v>1300</v>
      </c>
      <c r="V77" s="370">
        <v>8</v>
      </c>
      <c r="W77" s="423" t="s">
        <v>86</v>
      </c>
      <c r="X77" s="267" t="s">
        <v>51</v>
      </c>
      <c r="Y77" s="278" t="s">
        <v>181</v>
      </c>
      <c r="Z77" s="267" t="s">
        <v>341</v>
      </c>
      <c r="AA77" s="1027"/>
      <c r="AB77" s="18"/>
      <c r="AC77" s="1047" t="s">
        <v>40</v>
      </c>
      <c r="AD77" s="109" t="s">
        <v>134</v>
      </c>
      <c r="AE77" s="1185" t="s">
        <v>87</v>
      </c>
    </row>
    <row r="78" spans="1:31" s="109" customFormat="1" ht="45" customHeight="1">
      <c r="A78" s="1589"/>
      <c r="B78" s="35" t="s">
        <v>62</v>
      </c>
      <c r="C78" s="35" t="s">
        <v>62</v>
      </c>
      <c r="D78" s="35"/>
      <c r="E78" s="35"/>
      <c r="F78" s="35" t="s">
        <v>62</v>
      </c>
      <c r="G78" s="35" t="s">
        <v>62</v>
      </c>
      <c r="H78" s="35" t="s">
        <v>62</v>
      </c>
      <c r="I78" s="1461"/>
      <c r="J78" s="398" t="s">
        <v>41</v>
      </c>
      <c r="K78" s="1048" t="s">
        <v>370</v>
      </c>
      <c r="L78" s="1373" t="s">
        <v>371</v>
      </c>
      <c r="M78" s="1048" t="s">
        <v>372</v>
      </c>
      <c r="N78" s="1122" t="s">
        <v>373</v>
      </c>
      <c r="O78" s="1092" t="s">
        <v>46</v>
      </c>
      <c r="P78" s="1092" t="s">
        <v>40</v>
      </c>
      <c r="Q78" s="1108" t="s">
        <v>365</v>
      </c>
      <c r="R78" s="1123" t="s">
        <v>40</v>
      </c>
      <c r="S78" s="1048" t="s">
        <v>100</v>
      </c>
      <c r="T78" s="398">
        <v>8</v>
      </c>
      <c r="U78" s="398">
        <v>250</v>
      </c>
      <c r="V78" s="398">
        <v>2</v>
      </c>
      <c r="W78" s="423" t="s">
        <v>65</v>
      </c>
      <c r="X78" s="267" t="s">
        <v>51</v>
      </c>
      <c r="Y78" s="278" t="s">
        <v>52</v>
      </c>
      <c r="Z78" s="267" t="s">
        <v>52</v>
      </c>
      <c r="AA78" s="1072"/>
      <c r="AB78" s="1046"/>
      <c r="AC78" s="1047" t="s">
        <v>40</v>
      </c>
      <c r="AD78" s="109" t="s">
        <v>219</v>
      </c>
      <c r="AE78" s="1185" t="s">
        <v>246</v>
      </c>
    </row>
    <row r="79" spans="1:31" ht="30" customHeight="1">
      <c r="A79" s="1589"/>
      <c r="B79" s="33" t="s">
        <v>62</v>
      </c>
      <c r="C79" s="33" t="s">
        <v>62</v>
      </c>
      <c r="D79" s="33"/>
      <c r="E79" s="33"/>
      <c r="F79" s="33" t="s">
        <v>62</v>
      </c>
      <c r="G79" s="33" t="s">
        <v>62</v>
      </c>
      <c r="H79" s="33" t="s">
        <v>62</v>
      </c>
      <c r="I79" s="1461"/>
      <c r="J79" s="267" t="s">
        <v>41</v>
      </c>
      <c r="K79" s="20" t="s">
        <v>374</v>
      </c>
      <c r="L79" s="376" t="s">
        <v>375</v>
      </c>
      <c r="M79" s="20" t="s">
        <v>376</v>
      </c>
      <c r="N79" s="21" t="s">
        <v>62</v>
      </c>
      <c r="O79" s="1092" t="s">
        <v>46</v>
      </c>
      <c r="P79" s="1092" t="s">
        <v>40</v>
      </c>
      <c r="Q79" s="1108" t="s">
        <v>365</v>
      </c>
      <c r="R79" s="1124" t="s">
        <v>40</v>
      </c>
      <c r="S79" s="20" t="s">
        <v>116</v>
      </c>
      <c r="T79" s="74">
        <v>12</v>
      </c>
      <c r="U79" s="74">
        <v>350</v>
      </c>
      <c r="V79" s="74">
        <v>6</v>
      </c>
      <c r="W79" s="423" t="s">
        <v>65</v>
      </c>
      <c r="X79" s="267" t="s">
        <v>200</v>
      </c>
      <c r="Y79" s="1026" t="s">
        <v>52</v>
      </c>
      <c r="Z79" s="74" t="s">
        <v>52</v>
      </c>
      <c r="AA79" s="1027"/>
      <c r="AB79" s="18"/>
      <c r="AC79" s="1028" t="s">
        <v>40</v>
      </c>
      <c r="AD79" t="s">
        <v>134</v>
      </c>
      <c r="AE79" s="1186" t="s">
        <v>318</v>
      </c>
    </row>
    <row r="80" spans="1:31" ht="15.75" customHeight="1">
      <c r="A80" s="1589"/>
      <c r="B80" s="33" t="s">
        <v>62</v>
      </c>
      <c r="C80" s="33" t="s">
        <v>62</v>
      </c>
      <c r="D80" s="33"/>
      <c r="E80" s="33"/>
      <c r="F80" s="33" t="s">
        <v>62</v>
      </c>
      <c r="G80" s="33" t="s">
        <v>62</v>
      </c>
      <c r="H80" s="33" t="s">
        <v>62</v>
      </c>
      <c r="I80" s="1461"/>
      <c r="J80" s="267" t="s">
        <v>41</v>
      </c>
      <c r="K80" s="20" t="s">
        <v>377</v>
      </c>
      <c r="L80" s="376" t="s">
        <v>378</v>
      </c>
      <c r="M80" s="20" t="s">
        <v>379</v>
      </c>
      <c r="N80" s="21" t="s">
        <v>62</v>
      </c>
      <c r="O80" s="1037" t="s">
        <v>40</v>
      </c>
      <c r="P80" s="1037" t="s">
        <v>46</v>
      </c>
      <c r="Q80" s="20" t="s">
        <v>239</v>
      </c>
      <c r="R80" s="74" t="s">
        <v>40</v>
      </c>
      <c r="S80" s="20" t="s">
        <v>180</v>
      </c>
      <c r="T80" s="74">
        <v>10</v>
      </c>
      <c r="U80" s="74">
        <v>600</v>
      </c>
      <c r="V80" s="74">
        <v>4</v>
      </c>
      <c r="W80" s="423" t="s">
        <v>86</v>
      </c>
      <c r="X80" s="267" t="s">
        <v>51</v>
      </c>
      <c r="Y80" s="1026" t="s">
        <v>52</v>
      </c>
      <c r="Z80" s="74" t="s">
        <v>52</v>
      </c>
      <c r="AA80" s="1027"/>
      <c r="AB80" s="18"/>
      <c r="AC80" s="1028" t="s">
        <v>40</v>
      </c>
      <c r="AD80" t="s">
        <v>53</v>
      </c>
      <c r="AE80" s="1186" t="s">
        <v>318</v>
      </c>
    </row>
    <row r="81" spans="1:31" ht="15.75" customHeight="1">
      <c r="A81" s="1589"/>
      <c r="B81" s="33" t="s">
        <v>62</v>
      </c>
      <c r="C81" s="33" t="s">
        <v>62</v>
      </c>
      <c r="D81" s="33"/>
      <c r="E81" s="33"/>
      <c r="F81" s="33" t="s">
        <v>62</v>
      </c>
      <c r="G81" s="33" t="s">
        <v>62</v>
      </c>
      <c r="H81" s="33" t="s">
        <v>62</v>
      </c>
      <c r="I81" s="1461"/>
      <c r="J81" s="267" t="s">
        <v>41</v>
      </c>
      <c r="K81" s="20" t="s">
        <v>380</v>
      </c>
      <c r="L81" s="376" t="s">
        <v>381</v>
      </c>
      <c r="M81" s="1064" t="s">
        <v>382</v>
      </c>
      <c r="N81" s="21" t="s">
        <v>62</v>
      </c>
      <c r="O81" s="1022" t="s">
        <v>48</v>
      </c>
      <c r="P81" s="1022" t="s">
        <v>48</v>
      </c>
      <c r="Q81" s="20" t="s">
        <v>328</v>
      </c>
      <c r="R81" s="74" t="s">
        <v>40</v>
      </c>
      <c r="S81" s="20" t="s">
        <v>383</v>
      </c>
      <c r="T81" s="74">
        <v>19</v>
      </c>
      <c r="U81" s="74">
        <v>700.35</v>
      </c>
      <c r="V81" s="74">
        <v>4</v>
      </c>
      <c r="W81" s="423" t="s">
        <v>50</v>
      </c>
      <c r="X81" s="267" t="s">
        <v>51</v>
      </c>
      <c r="Y81" s="1026" t="s">
        <v>52</v>
      </c>
      <c r="Z81" s="74" t="s">
        <v>52</v>
      </c>
      <c r="AA81" s="1027"/>
      <c r="AB81" s="18"/>
      <c r="AC81" s="1028" t="s">
        <v>40</v>
      </c>
      <c r="AD81" t="s">
        <v>134</v>
      </c>
      <c r="AE81" s="1185" t="s">
        <v>127</v>
      </c>
    </row>
    <row r="82" spans="1:31" ht="48.75" customHeight="1">
      <c r="A82" s="1589"/>
      <c r="B82" s="33"/>
      <c r="C82" s="33"/>
      <c r="D82" s="33"/>
      <c r="E82" s="33"/>
      <c r="F82" s="33"/>
      <c r="G82" s="33"/>
      <c r="H82" s="33"/>
      <c r="I82" s="1461"/>
      <c r="J82" s="299" t="s">
        <v>41</v>
      </c>
      <c r="K82" s="680" t="s">
        <v>384</v>
      </c>
      <c r="L82" s="1436" t="s">
        <v>385</v>
      </c>
      <c r="M82" s="1437" t="s">
        <v>386</v>
      </c>
      <c r="N82" s="1227"/>
      <c r="O82" s="1370"/>
      <c r="P82" s="653" t="s">
        <v>40</v>
      </c>
      <c r="Q82" s="615" t="s">
        <v>387</v>
      </c>
      <c r="R82" s="788" t="s">
        <v>40</v>
      </c>
      <c r="S82" s="1372" t="s">
        <v>388</v>
      </c>
      <c r="T82" s="1369">
        <v>16</v>
      </c>
      <c r="U82" s="1369">
        <v>300</v>
      </c>
      <c r="V82" s="1369">
        <v>4</v>
      </c>
      <c r="W82" s="491" t="s">
        <v>86</v>
      </c>
      <c r="X82" s="299" t="s">
        <v>51</v>
      </c>
      <c r="Y82" s="299" t="s">
        <v>52</v>
      </c>
      <c r="Z82" s="103" t="s">
        <v>389</v>
      </c>
      <c r="AA82" s="103"/>
      <c r="AB82" s="29"/>
      <c r="AC82" s="103" t="s">
        <v>329</v>
      </c>
      <c r="AD82" s="144" t="s">
        <v>53</v>
      </c>
      <c r="AE82" s="29" t="s">
        <v>264</v>
      </c>
    </row>
    <row r="83" spans="1:31" ht="15.75" customHeight="1">
      <c r="A83" s="1589"/>
      <c r="B83" s="33"/>
      <c r="C83" s="33"/>
      <c r="D83" s="33"/>
      <c r="E83" s="33"/>
      <c r="F83" s="33"/>
      <c r="G83" s="33"/>
      <c r="H83" s="33"/>
      <c r="I83" s="1461"/>
      <c r="J83" s="299" t="s">
        <v>41</v>
      </c>
      <c r="K83" s="1434" t="s">
        <v>390</v>
      </c>
      <c r="L83" s="1432" t="s">
        <v>391</v>
      </c>
      <c r="M83" s="1433" t="s">
        <v>392</v>
      </c>
      <c r="N83" s="766"/>
      <c r="O83" s="644" t="s">
        <v>40</v>
      </c>
      <c r="P83" s="644"/>
      <c r="Q83" s="99"/>
      <c r="R83" s="644"/>
      <c r="S83" s="571"/>
      <c r="T83" s="1435"/>
      <c r="U83" s="1369"/>
      <c r="V83" s="1431"/>
      <c r="W83" s="491"/>
      <c r="X83" s="299"/>
      <c r="Y83" s="1394"/>
      <c r="Z83" s="103"/>
      <c r="AA83" s="1"/>
      <c r="AB83"/>
      <c r="AC83" s="1"/>
      <c r="AE83"/>
    </row>
    <row r="84" spans="1:31" s="109" customFormat="1" ht="30" customHeight="1">
      <c r="A84" s="1589"/>
      <c r="B84" s="35" t="s">
        <v>62</v>
      </c>
      <c r="C84" s="35" t="s">
        <v>62</v>
      </c>
      <c r="D84" s="35"/>
      <c r="E84" s="35"/>
      <c r="F84" s="35" t="s">
        <v>62</v>
      </c>
      <c r="G84" s="35" t="s">
        <v>62</v>
      </c>
      <c r="H84" s="35" t="s">
        <v>62</v>
      </c>
      <c r="I84" s="1461"/>
      <c r="J84" s="267" t="s">
        <v>41</v>
      </c>
      <c r="K84" s="376" t="s">
        <v>393</v>
      </c>
      <c r="L84" s="1438" t="s">
        <v>394</v>
      </c>
      <c r="M84" s="377" t="s">
        <v>395</v>
      </c>
      <c r="N84" s="1119" t="s">
        <v>62</v>
      </c>
      <c r="O84" s="1092" t="s">
        <v>46</v>
      </c>
      <c r="P84" s="1092" t="s">
        <v>40</v>
      </c>
      <c r="Q84" s="377" t="s">
        <v>396</v>
      </c>
      <c r="R84" s="370" t="s">
        <v>40</v>
      </c>
      <c r="S84" s="377" t="s">
        <v>116</v>
      </c>
      <c r="T84" s="267">
        <v>14</v>
      </c>
      <c r="U84" s="267">
        <v>300</v>
      </c>
      <c r="V84" s="276">
        <v>6</v>
      </c>
      <c r="W84" s="276" t="s">
        <v>65</v>
      </c>
      <c r="X84" s="267" t="s">
        <v>51</v>
      </c>
      <c r="Y84" s="1105" t="s">
        <v>52</v>
      </c>
      <c r="Z84" s="1104" t="s">
        <v>52</v>
      </c>
      <c r="AA84" s="1072"/>
      <c r="AB84" s="1046"/>
      <c r="AC84" s="1047" t="s">
        <v>40</v>
      </c>
      <c r="AD84" s="109" t="s">
        <v>53</v>
      </c>
      <c r="AE84" s="1185" t="s">
        <v>87</v>
      </c>
    </row>
    <row r="85" spans="1:31" s="109" customFormat="1" ht="30" customHeight="1">
      <c r="A85" s="1589"/>
      <c r="B85" s="35" t="s">
        <v>62</v>
      </c>
      <c r="C85" s="35" t="s">
        <v>62</v>
      </c>
      <c r="D85" s="35"/>
      <c r="E85" s="35"/>
      <c r="F85" s="35" t="s">
        <v>62</v>
      </c>
      <c r="G85" s="35" t="s">
        <v>62</v>
      </c>
      <c r="H85" s="35" t="s">
        <v>62</v>
      </c>
      <c r="I85" s="1461"/>
      <c r="J85" s="267" t="s">
        <v>41</v>
      </c>
      <c r="K85" s="1536" t="s">
        <v>397</v>
      </c>
      <c r="L85" s="1084" t="s">
        <v>398</v>
      </c>
      <c r="M85" s="1041" t="s">
        <v>399</v>
      </c>
      <c r="N85" s="376" t="s">
        <v>400</v>
      </c>
      <c r="O85" s="1037" t="s">
        <v>40</v>
      </c>
      <c r="P85" s="1037" t="s">
        <v>46</v>
      </c>
      <c r="Q85" s="1041" t="s">
        <v>396</v>
      </c>
      <c r="R85" s="1035" t="s">
        <v>40</v>
      </c>
      <c r="S85" s="1019" t="s">
        <v>85</v>
      </c>
      <c r="T85" s="1052">
        <v>10</v>
      </c>
      <c r="U85" s="1035">
        <v>300</v>
      </c>
      <c r="V85" s="423">
        <v>6</v>
      </c>
      <c r="W85" s="276" t="s">
        <v>50</v>
      </c>
      <c r="X85" s="267" t="s">
        <v>51</v>
      </c>
      <c r="Y85" s="1125" t="s">
        <v>52</v>
      </c>
      <c r="Z85" s="1103" t="s">
        <v>52</v>
      </c>
      <c r="AA85" s="1072"/>
      <c r="AB85" s="1046"/>
      <c r="AC85" s="1047" t="s">
        <v>40</v>
      </c>
      <c r="AD85" s="109" t="s">
        <v>53</v>
      </c>
      <c r="AE85" s="1185" t="s">
        <v>87</v>
      </c>
    </row>
    <row r="86" spans="1:31" ht="15.75" customHeight="1">
      <c r="A86" s="1589"/>
      <c r="B86" s="33" t="s">
        <v>62</v>
      </c>
      <c r="C86" s="33" t="s">
        <v>62</v>
      </c>
      <c r="D86" s="33"/>
      <c r="E86" s="33"/>
      <c r="F86" s="33" t="s">
        <v>62</v>
      </c>
      <c r="G86" s="33" t="s">
        <v>62</v>
      </c>
      <c r="H86" s="33" t="s">
        <v>62</v>
      </c>
      <c r="I86" s="1461"/>
      <c r="J86" s="370" t="s">
        <v>41</v>
      </c>
      <c r="K86" t="s">
        <v>401</v>
      </c>
      <c r="L86" s="1510" t="s">
        <v>184</v>
      </c>
      <c r="M86" s="1020" t="s">
        <v>402</v>
      </c>
      <c r="N86" s="21" t="s">
        <v>403</v>
      </c>
      <c r="O86" s="1037" t="s">
        <v>40</v>
      </c>
      <c r="P86" s="1037" t="s">
        <v>46</v>
      </c>
      <c r="Q86" s="95" t="s">
        <v>396</v>
      </c>
      <c r="R86" s="1074" t="s">
        <v>40</v>
      </c>
      <c r="S86" s="1020" t="s">
        <v>187</v>
      </c>
      <c r="T86" s="1024">
        <v>38</v>
      </c>
      <c r="U86" s="1025">
        <v>100</v>
      </c>
      <c r="V86" s="1068">
        <v>10</v>
      </c>
      <c r="W86" s="276" t="s">
        <v>50</v>
      </c>
      <c r="X86" s="267" t="s">
        <v>51</v>
      </c>
      <c r="Y86" s="1026" t="s">
        <v>52</v>
      </c>
      <c r="Z86" s="74" t="s">
        <v>52</v>
      </c>
      <c r="AA86" s="1027"/>
      <c r="AB86" s="18"/>
      <c r="AC86" s="1028" t="s">
        <v>40</v>
      </c>
      <c r="AD86" t="s">
        <v>53</v>
      </c>
      <c r="AE86" s="1185" t="s">
        <v>164</v>
      </c>
    </row>
    <row r="87" spans="1:31" s="109" customFormat="1" ht="15.75" customHeight="1">
      <c r="A87" s="1589"/>
      <c r="B87" s="35" t="s">
        <v>62</v>
      </c>
      <c r="C87" s="35" t="s">
        <v>62</v>
      </c>
      <c r="D87" s="35"/>
      <c r="E87" s="35"/>
      <c r="F87" s="35" t="s">
        <v>62</v>
      </c>
      <c r="G87" s="35" t="s">
        <v>62</v>
      </c>
      <c r="H87" s="35" t="s">
        <v>62</v>
      </c>
      <c r="I87" s="1461"/>
      <c r="J87" s="267" t="s">
        <v>41</v>
      </c>
      <c r="K87" s="1126" t="s">
        <v>404</v>
      </c>
      <c r="L87" s="1054" t="s">
        <v>405</v>
      </c>
      <c r="M87" s="1054" t="s">
        <v>406</v>
      </c>
      <c r="N87" s="1122" t="s">
        <v>407</v>
      </c>
      <c r="O87" s="1037" t="s">
        <v>40</v>
      </c>
      <c r="P87" s="1037" t="s">
        <v>46</v>
      </c>
      <c r="Q87" s="1066" t="s">
        <v>396</v>
      </c>
      <c r="R87" s="74" t="s">
        <v>40</v>
      </c>
      <c r="S87" s="1126" t="s">
        <v>297</v>
      </c>
      <c r="T87" s="1127">
        <v>16</v>
      </c>
      <c r="U87" s="1055">
        <v>250</v>
      </c>
      <c r="V87" s="35">
        <v>2</v>
      </c>
      <c r="W87" s="276" t="s">
        <v>50</v>
      </c>
      <c r="X87" s="267" t="s">
        <v>51</v>
      </c>
      <c r="Y87" s="278" t="s">
        <v>52</v>
      </c>
      <c r="Z87" s="267" t="s">
        <v>52</v>
      </c>
      <c r="AA87" s="1027"/>
      <c r="AB87" s="18"/>
      <c r="AC87" s="1047" t="s">
        <v>40</v>
      </c>
      <c r="AD87" s="109" t="s">
        <v>53</v>
      </c>
      <c r="AE87" s="1185" t="s">
        <v>213</v>
      </c>
    </row>
    <row r="88" spans="1:31" s="109" customFormat="1" ht="15.75" customHeight="1">
      <c r="A88" s="1589"/>
      <c r="B88" s="35"/>
      <c r="C88" s="35"/>
      <c r="D88" s="35"/>
      <c r="E88" s="35"/>
      <c r="F88" s="35"/>
      <c r="G88" s="35"/>
      <c r="H88" s="35"/>
      <c r="I88" s="1461"/>
      <c r="J88" s="267" t="s">
        <v>41</v>
      </c>
      <c r="K88" s="1046" t="s">
        <v>408</v>
      </c>
      <c r="L88" s="1046" t="s">
        <v>409</v>
      </c>
      <c r="M88" s="1046" t="s">
        <v>410</v>
      </c>
      <c r="N88" s="1122"/>
      <c r="O88" s="1037" t="s">
        <v>40</v>
      </c>
      <c r="P88" s="1037" t="s">
        <v>46</v>
      </c>
      <c r="Q88" s="1066" t="s">
        <v>328</v>
      </c>
      <c r="R88" s="74"/>
      <c r="S88" s="1046" t="s">
        <v>163</v>
      </c>
      <c r="T88" s="35">
        <v>6</v>
      </c>
      <c r="U88" s="35">
        <v>100</v>
      </c>
      <c r="V88" s="35">
        <v>4</v>
      </c>
      <c r="W88" s="276" t="s">
        <v>50</v>
      </c>
      <c r="X88" s="267" t="s">
        <v>51</v>
      </c>
      <c r="Y88" s="610"/>
      <c r="Z88" s="398"/>
      <c r="AA88" s="1027"/>
      <c r="AB88" s="18"/>
      <c r="AC88" s="1128"/>
      <c r="AE88" s="1185"/>
    </row>
    <row r="89" spans="1:31" s="109" customFormat="1" ht="45" customHeight="1">
      <c r="A89" s="1589"/>
      <c r="B89" s="35" t="s">
        <v>62</v>
      </c>
      <c r="C89" s="35" t="s">
        <v>62</v>
      </c>
      <c r="D89" s="35"/>
      <c r="E89" s="35"/>
      <c r="F89" s="35" t="s">
        <v>62</v>
      </c>
      <c r="G89" s="35" t="s">
        <v>62</v>
      </c>
      <c r="H89" s="35" t="s">
        <v>62</v>
      </c>
      <c r="I89" s="1461"/>
      <c r="J89" s="276" t="s">
        <v>41</v>
      </c>
      <c r="K89" s="376" t="s">
        <v>411</v>
      </c>
      <c r="L89" s="1018">
        <v>59.57</v>
      </c>
      <c r="M89" s="376" t="s">
        <v>412</v>
      </c>
      <c r="N89" s="1061" t="s">
        <v>413</v>
      </c>
      <c r="O89" s="1037" t="s">
        <v>40</v>
      </c>
      <c r="P89" s="1037" t="s">
        <v>46</v>
      </c>
      <c r="Q89" s="1066" t="s">
        <v>396</v>
      </c>
      <c r="R89" s="74" t="s">
        <v>40</v>
      </c>
      <c r="S89" s="1070" t="s">
        <v>100</v>
      </c>
      <c r="T89" s="267">
        <v>18</v>
      </c>
      <c r="U89" s="267">
        <v>200</v>
      </c>
      <c r="V89" s="276">
        <v>10</v>
      </c>
      <c r="W89" s="276" t="s">
        <v>50</v>
      </c>
      <c r="X89" s="267" t="s">
        <v>51</v>
      </c>
      <c r="Y89" s="610" t="s">
        <v>229</v>
      </c>
      <c r="Z89" s="398" t="s">
        <v>414</v>
      </c>
      <c r="AA89" s="1027"/>
      <c r="AB89" s="18"/>
      <c r="AC89" s="1128" t="s">
        <v>40</v>
      </c>
      <c r="AD89" s="109" t="s">
        <v>134</v>
      </c>
      <c r="AE89" s="1185" t="s">
        <v>164</v>
      </c>
    </row>
    <row r="90" spans="1:31" ht="15.75" customHeight="1">
      <c r="A90" s="1589"/>
      <c r="B90" s="33" t="s">
        <v>62</v>
      </c>
      <c r="C90" s="33" t="s">
        <v>62</v>
      </c>
      <c r="D90" s="33"/>
      <c r="E90" s="33"/>
      <c r="F90" s="33" t="s">
        <v>62</v>
      </c>
      <c r="G90" s="33" t="s">
        <v>62</v>
      </c>
      <c r="H90" s="33" t="s">
        <v>62</v>
      </c>
      <c r="I90" s="1461"/>
      <c r="J90" s="276" t="s">
        <v>41</v>
      </c>
      <c r="K90" s="20" t="s">
        <v>415</v>
      </c>
      <c r="L90" s="376" t="s">
        <v>416</v>
      </c>
      <c r="M90" s="20" t="s">
        <v>417</v>
      </c>
      <c r="N90" s="21" t="s">
        <v>62</v>
      </c>
      <c r="O90" s="1037" t="s">
        <v>40</v>
      </c>
      <c r="P90" s="1037" t="s">
        <v>46</v>
      </c>
      <c r="Q90" s="1023" t="s">
        <v>63</v>
      </c>
      <c r="R90" s="274" t="s">
        <v>40</v>
      </c>
      <c r="S90" s="20" t="s">
        <v>85</v>
      </c>
      <c r="T90" s="74">
        <v>20</v>
      </c>
      <c r="U90" s="74">
        <v>250</v>
      </c>
      <c r="V90" s="74">
        <v>8</v>
      </c>
      <c r="W90" s="423" t="s">
        <v>50</v>
      </c>
      <c r="X90" s="267" t="s">
        <v>51</v>
      </c>
      <c r="Y90" s="1026" t="s">
        <v>52</v>
      </c>
      <c r="Z90" s="74" t="s">
        <v>52</v>
      </c>
      <c r="AA90" s="1027"/>
      <c r="AB90" s="18"/>
      <c r="AC90" s="1028" t="s">
        <v>40</v>
      </c>
      <c r="AD90" t="s">
        <v>53</v>
      </c>
      <c r="AE90" s="1185" t="s">
        <v>117</v>
      </c>
    </row>
    <row r="91" spans="1:31" ht="21.6" customHeight="1">
      <c r="A91" s="1589"/>
      <c r="B91" s="33" t="s">
        <v>62</v>
      </c>
      <c r="C91" s="33" t="s">
        <v>62</v>
      </c>
      <c r="D91" s="33"/>
      <c r="E91" s="33"/>
      <c r="F91" s="33" t="s">
        <v>62</v>
      </c>
      <c r="G91" s="33" t="s">
        <v>62</v>
      </c>
      <c r="H91" s="33" t="s">
        <v>62</v>
      </c>
      <c r="I91" s="1461"/>
      <c r="J91" s="276" t="s">
        <v>41</v>
      </c>
      <c r="K91" s="20" t="s">
        <v>418</v>
      </c>
      <c r="L91" s="376" t="s">
        <v>419</v>
      </c>
      <c r="M91" s="20" t="s">
        <v>420</v>
      </c>
      <c r="N91" s="21" t="s">
        <v>62</v>
      </c>
      <c r="O91" s="1037" t="s">
        <v>40</v>
      </c>
      <c r="P91" s="1037" t="s">
        <v>46</v>
      </c>
      <c r="Q91" s="20" t="s">
        <v>204</v>
      </c>
      <c r="R91" s="74" t="s">
        <v>40</v>
      </c>
      <c r="S91" s="20" t="s">
        <v>421</v>
      </c>
      <c r="T91" s="74">
        <v>6</v>
      </c>
      <c r="U91" s="74">
        <v>200</v>
      </c>
      <c r="V91" s="74">
        <v>4</v>
      </c>
      <c r="W91" s="423" t="s">
        <v>50</v>
      </c>
      <c r="X91" s="267" t="s">
        <v>51</v>
      </c>
      <c r="Y91" s="1026" t="s">
        <v>229</v>
      </c>
      <c r="Z91" s="74" t="s">
        <v>414</v>
      </c>
      <c r="AA91" s="1027"/>
      <c r="AB91" s="18"/>
      <c r="AC91" s="1028" t="s">
        <v>40</v>
      </c>
      <c r="AD91" t="s">
        <v>53</v>
      </c>
      <c r="AE91" s="1185" t="s">
        <v>103</v>
      </c>
    </row>
    <row r="92" spans="1:31" s="109" customFormat="1" ht="29.25" customHeight="1">
      <c r="A92" s="1589"/>
      <c r="B92" s="35" t="s">
        <v>62</v>
      </c>
      <c r="C92" s="35" t="s">
        <v>62</v>
      </c>
      <c r="D92" s="35"/>
      <c r="E92" s="35"/>
      <c r="F92" s="35" t="s">
        <v>62</v>
      </c>
      <c r="G92" s="35" t="s">
        <v>62</v>
      </c>
      <c r="H92" s="35" t="s">
        <v>62</v>
      </c>
      <c r="I92" s="1461"/>
      <c r="J92" s="276" t="s">
        <v>41</v>
      </c>
      <c r="K92" s="376" t="s">
        <v>422</v>
      </c>
      <c r="L92" s="1018" t="s">
        <v>423</v>
      </c>
      <c r="M92" s="376" t="s">
        <v>424</v>
      </c>
      <c r="N92" s="1061" t="s">
        <v>62</v>
      </c>
      <c r="O92" s="1037" t="s">
        <v>40</v>
      </c>
      <c r="P92" s="1037" t="s">
        <v>46</v>
      </c>
      <c r="Q92" s="20" t="s">
        <v>204</v>
      </c>
      <c r="R92" s="74" t="s">
        <v>40</v>
      </c>
      <c r="S92" s="376" t="s">
        <v>421</v>
      </c>
      <c r="T92" s="267">
        <v>6</v>
      </c>
      <c r="U92" s="267">
        <v>200</v>
      </c>
      <c r="V92" s="267">
        <v>4</v>
      </c>
      <c r="W92" s="423" t="s">
        <v>65</v>
      </c>
      <c r="X92" s="267" t="s">
        <v>200</v>
      </c>
      <c r="Y92" s="278" t="s">
        <v>229</v>
      </c>
      <c r="Z92" s="267" t="s">
        <v>414</v>
      </c>
      <c r="AA92" s="1027"/>
      <c r="AB92" s="18"/>
      <c r="AC92" s="1047" t="s">
        <v>40</v>
      </c>
      <c r="AD92" s="109" t="s">
        <v>219</v>
      </c>
      <c r="AE92" s="1186" t="s">
        <v>220</v>
      </c>
    </row>
    <row r="93" spans="1:31" s="109" customFormat="1" ht="29.25" customHeight="1">
      <c r="A93" s="1589"/>
      <c r="B93" s="33" t="s">
        <v>62</v>
      </c>
      <c r="C93" s="33" t="s">
        <v>62</v>
      </c>
      <c r="D93" s="33"/>
      <c r="E93" s="33"/>
      <c r="F93" s="33" t="s">
        <v>62</v>
      </c>
      <c r="G93" s="33" t="s">
        <v>62</v>
      </c>
      <c r="H93" s="33" t="s">
        <v>62</v>
      </c>
      <c r="I93" s="1555" t="s">
        <v>62</v>
      </c>
      <c r="J93" s="402" t="s">
        <v>41</v>
      </c>
      <c r="K93" s="20" t="s">
        <v>425</v>
      </c>
      <c r="L93" s="376" t="s">
        <v>426</v>
      </c>
      <c r="M93" s="20" t="s">
        <v>427</v>
      </c>
      <c r="N93" s="21" t="s">
        <v>428</v>
      </c>
      <c r="O93" s="1037" t="s">
        <v>40</v>
      </c>
      <c r="P93" s="1037" t="s">
        <v>46</v>
      </c>
      <c r="Q93" s="1023" t="s">
        <v>63</v>
      </c>
      <c r="R93" s="74" t="s">
        <v>40</v>
      </c>
      <c r="S93" s="20" t="s">
        <v>85</v>
      </c>
      <c r="T93" s="74">
        <v>16</v>
      </c>
      <c r="U93" s="74">
        <v>110</v>
      </c>
      <c r="V93" s="74">
        <v>4</v>
      </c>
      <c r="W93" s="423" t="s">
        <v>50</v>
      </c>
      <c r="X93" s="267" t="s">
        <v>51</v>
      </c>
      <c r="Y93" s="1026" t="s">
        <v>52</v>
      </c>
      <c r="Z93" s="75" t="s">
        <v>52</v>
      </c>
      <c r="AA93" s="20"/>
      <c r="AB93" s="18"/>
      <c r="AC93" s="1028" t="s">
        <v>40</v>
      </c>
      <c r="AD93" t="s">
        <v>53</v>
      </c>
      <c r="AE93" s="1186" t="s">
        <v>111</v>
      </c>
    </row>
    <row r="94" spans="1:31" s="109" customFormat="1" ht="29.25" customHeight="1">
      <c r="A94" s="1589"/>
      <c r="B94" s="33"/>
      <c r="C94" s="33"/>
      <c r="D94" s="33"/>
      <c r="E94" s="33"/>
      <c r="F94" s="33"/>
      <c r="G94" s="33"/>
      <c r="H94" s="33"/>
      <c r="I94" s="1556"/>
      <c r="J94" s="402" t="s">
        <v>41</v>
      </c>
      <c r="K94" s="20" t="s">
        <v>429</v>
      </c>
      <c r="L94" s="376" t="s">
        <v>430</v>
      </c>
      <c r="M94" s="20" t="s">
        <v>431</v>
      </c>
      <c r="N94" s="21"/>
      <c r="O94" s="1037"/>
      <c r="P94" s="1037"/>
      <c r="Q94" s="1041" t="s">
        <v>396</v>
      </c>
      <c r="R94" s="74"/>
      <c r="S94" s="20" t="s">
        <v>432</v>
      </c>
      <c r="T94" s="74"/>
      <c r="U94" s="74"/>
      <c r="V94" s="74"/>
      <c r="W94" s="423" t="s">
        <v>50</v>
      </c>
      <c r="X94" s="267" t="s">
        <v>51</v>
      </c>
      <c r="Y94" s="1026" t="s">
        <v>52</v>
      </c>
      <c r="Z94" s="75" t="s">
        <v>52</v>
      </c>
      <c r="AA94" s="20"/>
      <c r="AB94" s="18"/>
      <c r="AC94" s="1028" t="s">
        <v>40</v>
      </c>
      <c r="AD94" t="s">
        <v>53</v>
      </c>
      <c r="AE94" s="1186" t="s">
        <v>318</v>
      </c>
    </row>
    <row r="95" spans="1:31" s="109" customFormat="1" ht="29.25" customHeight="1">
      <c r="A95" s="1589"/>
      <c r="B95" s="33"/>
      <c r="C95" s="33"/>
      <c r="D95" s="33"/>
      <c r="E95" s="33"/>
      <c r="F95" s="33"/>
      <c r="G95" s="33"/>
      <c r="H95" s="33"/>
      <c r="I95" s="1556"/>
      <c r="J95" s="402" t="s">
        <v>41</v>
      </c>
      <c r="K95" s="20" t="s">
        <v>433</v>
      </c>
      <c r="L95" s="376" t="s">
        <v>434</v>
      </c>
      <c r="M95" s="20" t="s">
        <v>435</v>
      </c>
      <c r="N95" s="21"/>
      <c r="O95" s="1037"/>
      <c r="P95" s="1037"/>
      <c r="Q95" s="1041" t="s">
        <v>396</v>
      </c>
      <c r="R95" s="74"/>
      <c r="S95" s="20" t="s">
        <v>432</v>
      </c>
      <c r="T95" s="74"/>
      <c r="U95" s="74"/>
      <c r="V95" s="74"/>
      <c r="W95" s="423" t="s">
        <v>50</v>
      </c>
      <c r="X95" s="267" t="s">
        <v>51</v>
      </c>
      <c r="Y95" s="1026" t="s">
        <v>52</v>
      </c>
      <c r="Z95" s="75" t="s">
        <v>52</v>
      </c>
      <c r="AA95" s="20"/>
      <c r="AB95" s="18"/>
      <c r="AC95" s="1028" t="s">
        <v>40</v>
      </c>
      <c r="AD95" t="s">
        <v>53</v>
      </c>
      <c r="AE95" s="1186" t="s">
        <v>318</v>
      </c>
    </row>
    <row r="96" spans="1:31" s="109" customFormat="1" ht="29.25" customHeight="1">
      <c r="A96" s="1589"/>
      <c r="B96" s="33"/>
      <c r="C96" s="33"/>
      <c r="D96" s="33"/>
      <c r="E96" s="33"/>
      <c r="F96" s="33"/>
      <c r="G96" s="33"/>
      <c r="H96" s="33"/>
      <c r="I96" s="1556"/>
      <c r="J96" s="402" t="s">
        <v>41</v>
      </c>
      <c r="K96" s="20" t="s">
        <v>436</v>
      </c>
      <c r="L96" s="376" t="s">
        <v>430</v>
      </c>
      <c r="M96" s="20" t="s">
        <v>437</v>
      </c>
      <c r="N96" s="21"/>
      <c r="O96" s="1037" t="s">
        <v>40</v>
      </c>
      <c r="P96" s="1037"/>
      <c r="Q96" s="1041" t="s">
        <v>396</v>
      </c>
      <c r="R96" s="74"/>
      <c r="S96" s="20" t="s">
        <v>432</v>
      </c>
      <c r="T96" s="74"/>
      <c r="U96" s="74"/>
      <c r="V96" s="74"/>
      <c r="W96" s="35" t="s">
        <v>50</v>
      </c>
      <c r="X96" s="267" t="s">
        <v>51</v>
      </c>
      <c r="Y96" s="1026" t="s">
        <v>52</v>
      </c>
      <c r="Z96" s="75" t="s">
        <v>52</v>
      </c>
      <c r="AA96" s="20"/>
      <c r="AB96" s="18"/>
      <c r="AC96" s="1028" t="s">
        <v>40</v>
      </c>
      <c r="AD96" t="s">
        <v>53</v>
      </c>
      <c r="AE96" s="1186" t="s">
        <v>318</v>
      </c>
    </row>
    <row r="97" spans="1:31" ht="21.6" customHeight="1">
      <c r="A97" s="1590"/>
      <c r="B97" s="33" t="s">
        <v>62</v>
      </c>
      <c r="C97" s="33" t="s">
        <v>62</v>
      </c>
      <c r="D97" s="33"/>
      <c r="E97" s="33"/>
      <c r="F97" s="33" t="s">
        <v>62</v>
      </c>
      <c r="G97" s="33" t="s">
        <v>62</v>
      </c>
      <c r="H97" s="33" t="s">
        <v>62</v>
      </c>
      <c r="I97" s="1557"/>
      <c r="J97" s="278" t="s">
        <v>41</v>
      </c>
      <c r="K97" s="20" t="s">
        <v>438</v>
      </c>
      <c r="L97" s="376" t="s">
        <v>439</v>
      </c>
      <c r="M97" s="20" t="s">
        <v>440</v>
      </c>
      <c r="N97" s="20"/>
      <c r="O97" s="1037" t="s">
        <v>46</v>
      </c>
      <c r="P97" s="1037" t="s">
        <v>40</v>
      </c>
      <c r="Q97" s="1151" t="s">
        <v>441</v>
      </c>
      <c r="R97" s="97" t="s">
        <v>48</v>
      </c>
      <c r="S97" s="20" t="s">
        <v>442</v>
      </c>
      <c r="T97" s="74">
        <v>16</v>
      </c>
      <c r="U97" s="267">
        <v>600</v>
      </c>
      <c r="V97" s="74">
        <v>1</v>
      </c>
      <c r="W97" s="267" t="s">
        <v>65</v>
      </c>
      <c r="X97" s="294" t="s">
        <v>51</v>
      </c>
      <c r="Y97" s="74" t="s">
        <v>52</v>
      </c>
      <c r="Z97" s="74" t="s">
        <v>52</v>
      </c>
      <c r="AA97" s="275">
        <v>0</v>
      </c>
      <c r="AB97" s="20"/>
      <c r="AC97" s="27" t="s">
        <v>40</v>
      </c>
      <c r="AD97" t="s">
        <v>53</v>
      </c>
      <c r="AE97" s="1177" t="s">
        <v>443</v>
      </c>
    </row>
    <row r="98" spans="1:31" ht="21.75" customHeight="1">
      <c r="A98" s="1591" t="s">
        <v>444</v>
      </c>
      <c r="B98" s="1594" t="s">
        <v>445</v>
      </c>
      <c r="C98" s="1597" t="s">
        <v>446</v>
      </c>
      <c r="D98" s="1586" t="s">
        <v>447</v>
      </c>
      <c r="E98" s="1586" t="s">
        <v>448</v>
      </c>
      <c r="F98" s="1583">
        <v>2</v>
      </c>
      <c r="G98" s="1586" t="s">
        <v>449</v>
      </c>
      <c r="H98" s="1586" t="s">
        <v>40</v>
      </c>
      <c r="I98" s="1556">
        <f>COUNTIF(J98:J100,"=VIRTUAL")</f>
        <v>3</v>
      </c>
      <c r="J98" s="523" t="s">
        <v>41</v>
      </c>
      <c r="K98" s="1129" t="s">
        <v>450</v>
      </c>
      <c r="L98" s="1130" t="s">
        <v>451</v>
      </c>
      <c r="M98" s="1131" t="s">
        <v>452</v>
      </c>
      <c r="N98" s="1132" t="s">
        <v>62</v>
      </c>
      <c r="O98" s="1037" t="s">
        <v>40</v>
      </c>
      <c r="P98" s="1037" t="s">
        <v>46</v>
      </c>
      <c r="Q98" s="1129" t="s">
        <v>396</v>
      </c>
      <c r="R98" s="1133" t="s">
        <v>40</v>
      </c>
      <c r="S98" s="1129" t="s">
        <v>453</v>
      </c>
      <c r="T98" s="1133">
        <v>164</v>
      </c>
      <c r="U98" s="1134" t="s">
        <v>62</v>
      </c>
      <c r="V98" s="1133">
        <v>16</v>
      </c>
      <c r="W98" s="523" t="s">
        <v>50</v>
      </c>
      <c r="X98" s="370" t="s">
        <v>51</v>
      </c>
      <c r="Y98" s="1133" t="s">
        <v>206</v>
      </c>
      <c r="Z98" s="1133" t="s">
        <v>207</v>
      </c>
      <c r="AA98" s="1803">
        <v>11610</v>
      </c>
      <c r="AB98" s="1135"/>
      <c r="AC98" s="1220" t="s">
        <v>454</v>
      </c>
      <c r="AE98" s="1186" t="s">
        <v>455</v>
      </c>
    </row>
    <row r="99" spans="1:31" ht="21.75" customHeight="1">
      <c r="A99" s="1592"/>
      <c r="B99" s="1595"/>
      <c r="C99" s="1570"/>
      <c r="D99" s="1567"/>
      <c r="E99" s="1568"/>
      <c r="F99" s="1584"/>
      <c r="G99" s="1567"/>
      <c r="H99" s="1567"/>
      <c r="I99" s="1556"/>
      <c r="J99" s="267" t="s">
        <v>41</v>
      </c>
      <c r="K99" s="20" t="s">
        <v>456</v>
      </c>
      <c r="L99" s="1061" t="s">
        <v>457</v>
      </c>
      <c r="M99" s="839" t="s">
        <v>458</v>
      </c>
      <c r="N99" s="21" t="s">
        <v>62</v>
      </c>
      <c r="O99" s="1037" t="s">
        <v>40</v>
      </c>
      <c r="P99" s="1037" t="s">
        <v>46</v>
      </c>
      <c r="Q99" s="20" t="s">
        <v>396</v>
      </c>
      <c r="R99" s="74" t="s">
        <v>40</v>
      </c>
      <c r="S99" s="20" t="s">
        <v>459</v>
      </c>
      <c r="T99" s="74">
        <v>65</v>
      </c>
      <c r="U99" s="1022" t="s">
        <v>62</v>
      </c>
      <c r="V99" s="74">
        <v>12</v>
      </c>
      <c r="W99" s="267" t="s">
        <v>50</v>
      </c>
      <c r="X99" s="267" t="s">
        <v>51</v>
      </c>
      <c r="Y99" s="74" t="s">
        <v>206</v>
      </c>
      <c r="Z99" s="74" t="s">
        <v>207</v>
      </c>
      <c r="AA99" s="1804"/>
      <c r="AB99" s="24"/>
      <c r="AC99" s="1136" t="s">
        <v>460</v>
      </c>
      <c r="AD99" t="s">
        <v>53</v>
      </c>
      <c r="AE99" s="1186" t="s">
        <v>455</v>
      </c>
    </row>
    <row r="100" spans="1:31" ht="21.75" customHeight="1" thickBot="1">
      <c r="A100" s="1592"/>
      <c r="B100" s="1595"/>
      <c r="C100" s="1570"/>
      <c r="D100" s="1567"/>
      <c r="E100" s="1568"/>
      <c r="F100" s="1584"/>
      <c r="G100" s="1567"/>
      <c r="H100" s="1567"/>
      <c r="I100" s="1557"/>
      <c r="J100" s="267" t="s">
        <v>41</v>
      </c>
      <c r="K100" s="20" t="s">
        <v>461</v>
      </c>
      <c r="L100" s="1061" t="s">
        <v>462</v>
      </c>
      <c r="M100" s="20" t="s">
        <v>463</v>
      </c>
      <c r="N100" s="21" t="s">
        <v>62</v>
      </c>
      <c r="O100" s="1037" t="s">
        <v>40</v>
      </c>
      <c r="P100" s="1037" t="s">
        <v>46</v>
      </c>
      <c r="Q100" s="20" t="s">
        <v>396</v>
      </c>
      <c r="R100" s="74" t="s">
        <v>40</v>
      </c>
      <c r="S100" s="20" t="s">
        <v>459</v>
      </c>
      <c r="T100" s="74">
        <v>32</v>
      </c>
      <c r="U100" s="1022" t="s">
        <v>62</v>
      </c>
      <c r="V100" s="74">
        <v>10</v>
      </c>
      <c r="W100" s="267" t="s">
        <v>50</v>
      </c>
      <c r="X100" s="267" t="s">
        <v>51</v>
      </c>
      <c r="Y100" s="74" t="s">
        <v>206</v>
      </c>
      <c r="Z100" s="74" t="s">
        <v>207</v>
      </c>
      <c r="AA100" s="1804"/>
      <c r="AB100" s="24"/>
      <c r="AC100" s="1136" t="s">
        <v>460</v>
      </c>
      <c r="AD100" t="s">
        <v>53</v>
      </c>
      <c r="AE100" s="1186" t="s">
        <v>455</v>
      </c>
    </row>
    <row r="101" spans="1:31" ht="21.75" customHeight="1">
      <c r="A101" s="1592"/>
      <c r="B101" s="1595"/>
      <c r="C101" s="1570"/>
      <c r="D101" s="1567"/>
      <c r="E101" s="1567" t="s">
        <v>464</v>
      </c>
      <c r="F101" s="1584"/>
      <c r="G101" s="1567"/>
      <c r="H101" s="1567"/>
      <c r="I101" s="1599">
        <f>COUNTIF(J101:J103,"=VIRTUAL")</f>
        <v>3</v>
      </c>
      <c r="J101" s="267" t="s">
        <v>41</v>
      </c>
      <c r="K101" s="20" t="s">
        <v>465</v>
      </c>
      <c r="L101" s="1061" t="s">
        <v>466</v>
      </c>
      <c r="M101" s="1064" t="s">
        <v>467</v>
      </c>
      <c r="N101" s="21" t="s">
        <v>62</v>
      </c>
      <c r="O101" s="1037" t="s">
        <v>40</v>
      </c>
      <c r="P101" s="1037" t="s">
        <v>46</v>
      </c>
      <c r="Q101" s="20" t="s">
        <v>396</v>
      </c>
      <c r="R101" s="74" t="s">
        <v>40</v>
      </c>
      <c r="S101" s="20" t="s">
        <v>453</v>
      </c>
      <c r="T101" s="74">
        <v>164</v>
      </c>
      <c r="U101" s="1022" t="s">
        <v>62</v>
      </c>
      <c r="V101" s="74">
        <v>16</v>
      </c>
      <c r="W101" s="267" t="s">
        <v>50</v>
      </c>
      <c r="X101" s="267" t="s">
        <v>51</v>
      </c>
      <c r="Y101" s="74" t="s">
        <v>206</v>
      </c>
      <c r="Z101" s="74" t="s">
        <v>207</v>
      </c>
      <c r="AA101" s="1804"/>
      <c r="AB101" s="24"/>
      <c r="AC101" s="1219" t="s">
        <v>454</v>
      </c>
      <c r="AE101" s="1186" t="s">
        <v>455</v>
      </c>
    </row>
    <row r="102" spans="1:31" ht="21.75" customHeight="1">
      <c r="A102" s="1592"/>
      <c r="B102" s="1595"/>
      <c r="C102" s="1570"/>
      <c r="D102" s="1567"/>
      <c r="E102" s="1568"/>
      <c r="F102" s="1584"/>
      <c r="G102" s="1567"/>
      <c r="H102" s="1567"/>
      <c r="I102" s="1556"/>
      <c r="J102" s="267" t="s">
        <v>41</v>
      </c>
      <c r="K102" s="20" t="s">
        <v>468</v>
      </c>
      <c r="L102" s="1061" t="s">
        <v>469</v>
      </c>
      <c r="M102" s="20" t="s">
        <v>470</v>
      </c>
      <c r="N102" s="21" t="s">
        <v>62</v>
      </c>
      <c r="O102" s="1037" t="s">
        <v>40</v>
      </c>
      <c r="P102" s="1037" t="s">
        <v>46</v>
      </c>
      <c r="Q102" s="20" t="s">
        <v>396</v>
      </c>
      <c r="R102" s="74" t="s">
        <v>40</v>
      </c>
      <c r="S102" s="20" t="s">
        <v>459</v>
      </c>
      <c r="T102" s="74">
        <v>98</v>
      </c>
      <c r="U102" s="1022" t="s">
        <v>62</v>
      </c>
      <c r="V102" s="74">
        <v>12</v>
      </c>
      <c r="W102" s="267" t="s">
        <v>50</v>
      </c>
      <c r="X102" s="267" t="s">
        <v>51</v>
      </c>
      <c r="Y102" s="74" t="s">
        <v>52</v>
      </c>
      <c r="Z102" s="74" t="s">
        <v>52</v>
      </c>
      <c r="AA102" s="1804"/>
      <c r="AB102" s="24"/>
      <c r="AC102" s="1136" t="s">
        <v>460</v>
      </c>
      <c r="AD102" t="s">
        <v>53</v>
      </c>
      <c r="AE102" s="1186" t="s">
        <v>455</v>
      </c>
    </row>
    <row r="103" spans="1:31" ht="21.75" customHeight="1">
      <c r="A103" s="1593"/>
      <c r="B103" s="1596"/>
      <c r="C103" s="1598"/>
      <c r="D103" s="1569"/>
      <c r="E103" s="1555"/>
      <c r="F103" s="1585"/>
      <c r="G103" s="1569"/>
      <c r="H103" s="1569"/>
      <c r="I103" s="1556"/>
      <c r="J103" s="398" t="s">
        <v>41</v>
      </c>
      <c r="K103" s="1164" t="s">
        <v>471</v>
      </c>
      <c r="L103" s="1138" t="s">
        <v>462</v>
      </c>
      <c r="M103" s="1137" t="s">
        <v>472</v>
      </c>
      <c r="N103" s="1139" t="s">
        <v>62</v>
      </c>
      <c r="O103" s="1037" t="s">
        <v>40</v>
      </c>
      <c r="P103" s="1037" t="s">
        <v>46</v>
      </c>
      <c r="Q103" s="1137" t="s">
        <v>396</v>
      </c>
      <c r="R103" s="1140" t="s">
        <v>40</v>
      </c>
      <c r="S103" s="1137" t="s">
        <v>459</v>
      </c>
      <c r="T103" s="1140">
        <v>32</v>
      </c>
      <c r="U103" s="1141" t="s">
        <v>62</v>
      </c>
      <c r="V103" s="1140">
        <v>10</v>
      </c>
      <c r="W103" s="524" t="s">
        <v>50</v>
      </c>
      <c r="X103" s="524" t="s">
        <v>51</v>
      </c>
      <c r="Y103" s="1140" t="s">
        <v>52</v>
      </c>
      <c r="Z103" s="1140" t="s">
        <v>52</v>
      </c>
      <c r="AA103" s="1805"/>
      <c r="AB103" s="1142"/>
      <c r="AC103" s="1143" t="s">
        <v>460</v>
      </c>
      <c r="AD103" t="s">
        <v>53</v>
      </c>
      <c r="AE103" s="1186" t="s">
        <v>455</v>
      </c>
    </row>
    <row r="104" spans="1:31" ht="75.75" customHeight="1">
      <c r="A104" s="1558" t="s">
        <v>473</v>
      </c>
      <c r="B104" s="1560" t="s">
        <v>474</v>
      </c>
      <c r="C104" s="1045" t="s">
        <v>475</v>
      </c>
      <c r="D104" s="1160" t="s">
        <v>476</v>
      </c>
      <c r="E104" s="1044" t="s">
        <v>477</v>
      </c>
      <c r="F104" s="267">
        <v>1</v>
      </c>
      <c r="G104" s="1160" t="s">
        <v>478</v>
      </c>
      <c r="H104" s="1221" t="s">
        <v>48</v>
      </c>
      <c r="I104" s="1584"/>
      <c r="J104" s="267" t="s">
        <v>479</v>
      </c>
      <c r="K104" s="1086"/>
      <c r="L104" s="1535"/>
      <c r="M104" s="1099"/>
      <c r="N104" s="1144"/>
      <c r="O104" s="1037"/>
      <c r="P104" s="1037"/>
      <c r="Q104" s="275"/>
      <c r="R104" s="274"/>
      <c r="S104" s="275"/>
      <c r="T104" s="370"/>
      <c r="U104" s="370"/>
      <c r="V104" s="370"/>
      <c r="W104" s="894"/>
      <c r="X104" s="267"/>
      <c r="Y104" s="274"/>
      <c r="Z104" s="274"/>
      <c r="AA104" s="275"/>
      <c r="AB104" s="275"/>
      <c r="AC104" s="1145"/>
    </row>
    <row r="105" spans="1:31" ht="76.5">
      <c r="A105" s="1559"/>
      <c r="B105" s="1560"/>
      <c r="C105" s="1045" t="s">
        <v>475</v>
      </c>
      <c r="D105" s="1044" t="s">
        <v>480</v>
      </c>
      <c r="E105" s="1044" t="s">
        <v>481</v>
      </c>
      <c r="F105" s="267">
        <v>1</v>
      </c>
      <c r="G105" s="1160" t="s">
        <v>478</v>
      </c>
      <c r="H105" s="1221" t="s">
        <v>48</v>
      </c>
      <c r="I105" s="1584"/>
      <c r="J105" s="267" t="s">
        <v>479</v>
      </c>
      <c r="K105" s="1070"/>
      <c r="L105" s="1535"/>
      <c r="M105" s="20"/>
      <c r="N105" s="1029"/>
      <c r="O105" s="1037"/>
      <c r="P105" s="1037"/>
      <c r="Q105" s="20"/>
      <c r="R105" s="74"/>
      <c r="S105" s="20"/>
      <c r="T105" s="267"/>
      <c r="U105" s="267"/>
      <c r="V105" s="267"/>
      <c r="W105" s="278"/>
      <c r="X105" s="267"/>
      <c r="Y105" s="74"/>
      <c r="Z105" s="74"/>
      <c r="AA105" s="20"/>
      <c r="AB105" s="20"/>
      <c r="AC105" s="27"/>
    </row>
    <row r="106" spans="1:31" ht="76.5">
      <c r="A106" s="1559"/>
      <c r="B106" s="1560"/>
      <c r="C106" s="1045" t="s">
        <v>475</v>
      </c>
      <c r="D106" s="1044" t="s">
        <v>482</v>
      </c>
      <c r="E106" s="1044" t="s">
        <v>483</v>
      </c>
      <c r="F106" s="267">
        <v>1</v>
      </c>
      <c r="G106" s="1160" t="s">
        <v>478</v>
      </c>
      <c r="H106" s="1221" t="s">
        <v>48</v>
      </c>
      <c r="I106" s="1584"/>
      <c r="J106" s="267" t="s">
        <v>479</v>
      </c>
      <c r="K106" s="1070"/>
      <c r="L106" s="1535"/>
      <c r="M106" s="20"/>
      <c r="N106" s="1029"/>
      <c r="O106" s="1037"/>
      <c r="P106" s="1037"/>
      <c r="Q106" s="20"/>
      <c r="R106" s="74"/>
      <c r="S106" s="20"/>
      <c r="T106" s="267"/>
      <c r="U106" s="267"/>
      <c r="V106" s="267"/>
      <c r="W106" s="278"/>
      <c r="X106" s="267"/>
      <c r="Y106" s="74"/>
      <c r="Z106" s="74"/>
      <c r="AA106" s="20"/>
      <c r="AB106" s="20"/>
      <c r="AC106" s="27"/>
    </row>
    <row r="107" spans="1:31" s="109" customFormat="1" ht="65.25" customHeight="1">
      <c r="A107" s="1559"/>
      <c r="B107" s="1560"/>
      <c r="C107" s="278" t="s">
        <v>475</v>
      </c>
      <c r="D107" s="267" t="s">
        <v>484</v>
      </c>
      <c r="E107" s="267" t="s">
        <v>46</v>
      </c>
      <c r="F107" s="267">
        <v>1</v>
      </c>
      <c r="G107" s="1215" t="s">
        <v>485</v>
      </c>
      <c r="H107" s="1221" t="s">
        <v>48</v>
      </c>
      <c r="I107" s="267" t="s">
        <v>62</v>
      </c>
      <c r="J107" s="267" t="s">
        <v>479</v>
      </c>
      <c r="K107" s="1222"/>
      <c r="L107" s="376"/>
      <c r="M107" s="376"/>
      <c r="N107" s="376"/>
      <c r="O107" s="1037"/>
      <c r="P107" s="1037"/>
      <c r="Q107" s="1060"/>
      <c r="R107" s="74"/>
      <c r="S107" s="1070"/>
      <c r="T107" s="267"/>
      <c r="U107" s="267"/>
      <c r="V107" s="267"/>
      <c r="W107" s="267"/>
      <c r="X107" s="267"/>
      <c r="Y107" s="267"/>
      <c r="Z107" s="398"/>
      <c r="AA107" s="398"/>
      <c r="AB107" s="398"/>
      <c r="AC107" s="1163"/>
      <c r="AD107"/>
      <c r="AE107" s="1177"/>
    </row>
    <row r="108" spans="1:31" s="109" customFormat="1" ht="60.75">
      <c r="A108" s="1559"/>
      <c r="B108" s="1560"/>
      <c r="C108" s="278" t="s">
        <v>475</v>
      </c>
      <c r="D108" s="267" t="s">
        <v>486</v>
      </c>
      <c r="E108" s="267" t="s">
        <v>46</v>
      </c>
      <c r="F108" s="267">
        <v>1</v>
      </c>
      <c r="G108" s="1216" t="s">
        <v>485</v>
      </c>
      <c r="H108" s="267" t="s">
        <v>48</v>
      </c>
      <c r="I108" s="898" t="s">
        <v>62</v>
      </c>
      <c r="J108" s="894" t="s">
        <v>479</v>
      </c>
      <c r="K108" s="1048"/>
      <c r="L108" s="1048"/>
      <c r="M108" s="1048"/>
      <c r="N108" s="1048"/>
      <c r="O108" s="1165"/>
      <c r="P108" s="1165"/>
      <c r="Q108" s="1060"/>
      <c r="R108" s="74"/>
      <c r="S108" s="1070"/>
      <c r="T108" s="267"/>
      <c r="U108" s="267"/>
      <c r="V108" s="267"/>
      <c r="W108" s="267"/>
      <c r="X108" s="267"/>
      <c r="Y108" s="276"/>
      <c r="Z108" s="1044"/>
      <c r="AA108" s="1044"/>
      <c r="AB108" s="1044"/>
      <c r="AC108" s="1160"/>
      <c r="AD108"/>
      <c r="AE108" s="1177"/>
    </row>
    <row r="109" spans="1:31" s="109" customFormat="1" ht="15" customHeight="1">
      <c r="A109" s="1559"/>
      <c r="B109" s="1573" t="s">
        <v>487</v>
      </c>
      <c r="C109" s="1026" t="s">
        <v>475</v>
      </c>
      <c r="D109" s="267" t="s">
        <v>488</v>
      </c>
      <c r="E109" s="1124"/>
      <c r="F109" s="1568">
        <v>3</v>
      </c>
      <c r="G109" s="1561" t="s">
        <v>489</v>
      </c>
      <c r="H109" s="267" t="s">
        <v>48</v>
      </c>
      <c r="I109" s="1572"/>
      <c r="J109" s="894" t="s">
        <v>479</v>
      </c>
      <c r="K109" s="1043"/>
      <c r="L109" s="1581"/>
      <c r="M109" s="1607"/>
      <c r="N109" s="1577"/>
      <c r="O109" s="1579"/>
      <c r="P109" s="1580"/>
      <c r="Q109" s="1603"/>
      <c r="R109" s="1605"/>
      <c r="S109" s="1569"/>
      <c r="T109" s="1569"/>
      <c r="U109" s="1569"/>
      <c r="V109" s="1569"/>
      <c r="W109" s="1569"/>
      <c r="X109" s="1569"/>
      <c r="Y109" s="1601"/>
      <c r="Z109" s="1577"/>
      <c r="AA109" s="1577"/>
      <c r="AB109" s="1577"/>
      <c r="AC109" s="1577"/>
      <c r="AD109" s="1578"/>
      <c r="AE109" s="1576"/>
    </row>
    <row r="110" spans="1:31" ht="15" customHeight="1">
      <c r="A110" s="1559"/>
      <c r="B110" s="1574"/>
      <c r="C110" s="1026" t="s">
        <v>475</v>
      </c>
      <c r="D110" s="74" t="s">
        <v>490</v>
      </c>
      <c r="E110" s="74"/>
      <c r="F110" s="1568"/>
      <c r="G110" s="1562"/>
      <c r="H110" s="267" t="s">
        <v>48</v>
      </c>
      <c r="I110" s="1572"/>
      <c r="J110" s="894" t="s">
        <v>479</v>
      </c>
      <c r="K110" s="1043"/>
      <c r="L110" s="1581"/>
      <c r="M110" s="1608"/>
      <c r="N110" s="1577"/>
      <c r="O110" s="1579"/>
      <c r="P110" s="1580"/>
      <c r="Q110" s="1604"/>
      <c r="R110" s="1606"/>
      <c r="S110" s="1571"/>
      <c r="T110" s="1571"/>
      <c r="U110" s="1571"/>
      <c r="V110" s="1571"/>
      <c r="W110" s="1571"/>
      <c r="X110" s="1571"/>
      <c r="Y110" s="1602"/>
      <c r="Z110" s="1577"/>
      <c r="AA110" s="1577"/>
      <c r="AB110" s="1577"/>
      <c r="AC110" s="1577"/>
      <c r="AD110" s="1578"/>
      <c r="AE110" s="1576"/>
    </row>
    <row r="111" spans="1:31" ht="15.75" customHeight="1">
      <c r="A111" s="1559"/>
      <c r="B111" s="1574"/>
      <c r="C111" s="1026" t="s">
        <v>475</v>
      </c>
      <c r="D111" s="74" t="s">
        <v>491</v>
      </c>
      <c r="E111" s="20"/>
      <c r="F111" s="1568"/>
      <c r="G111" s="1563"/>
      <c r="H111" s="267" t="s">
        <v>48</v>
      </c>
      <c r="I111" s="1572"/>
      <c r="J111" s="894" t="s">
        <v>479</v>
      </c>
      <c r="K111" s="1043"/>
      <c r="L111" s="1173"/>
      <c r="M111" s="1190"/>
      <c r="N111" s="1191"/>
      <c r="O111" s="1037"/>
      <c r="P111" s="1037"/>
      <c r="Q111" s="1056"/>
      <c r="R111" s="267"/>
      <c r="S111" s="1148"/>
      <c r="T111" s="74"/>
      <c r="U111" s="74"/>
      <c r="V111" s="74"/>
      <c r="W111" s="267"/>
      <c r="X111" s="267"/>
      <c r="Y111" s="75"/>
      <c r="Z111" s="1147"/>
      <c r="AA111" s="1146"/>
      <c r="AB111" s="1146"/>
      <c r="AC111" s="1172"/>
      <c r="AD111" s="81"/>
      <c r="AE111" s="1185"/>
    </row>
    <row r="112" spans="1:31" s="109" customFormat="1" ht="45.75">
      <c r="A112" s="1559"/>
      <c r="B112" s="1574"/>
      <c r="C112" s="278" t="s">
        <v>475</v>
      </c>
      <c r="D112" s="267" t="s">
        <v>492</v>
      </c>
      <c r="E112" s="267"/>
      <c r="F112" s="267">
        <v>1</v>
      </c>
      <c r="G112" s="1216" t="s">
        <v>493</v>
      </c>
      <c r="H112" s="267" t="s">
        <v>48</v>
      </c>
      <c r="I112" s="370" t="s">
        <v>62</v>
      </c>
      <c r="J112" s="1097" t="s">
        <v>479</v>
      </c>
      <c r="K112" s="1115"/>
      <c r="L112" s="1018"/>
      <c r="M112" s="377"/>
      <c r="N112" s="376"/>
      <c r="O112" s="1037"/>
      <c r="P112" s="1037"/>
      <c r="Q112" s="1149"/>
      <c r="R112" s="1150"/>
      <c r="S112" s="1070"/>
      <c r="T112" s="267"/>
      <c r="U112" s="267"/>
      <c r="V112" s="267"/>
      <c r="W112" s="267"/>
      <c r="X112" s="267"/>
      <c r="Y112" s="276"/>
      <c r="Z112" s="1044"/>
      <c r="AA112" s="1044"/>
      <c r="AB112" s="1044"/>
      <c r="AC112" s="1160"/>
      <c r="AD112" s="1176"/>
      <c r="AE112" s="1186"/>
    </row>
    <row r="113" spans="1:31" s="109" customFormat="1" ht="45.75">
      <c r="A113" s="1559"/>
      <c r="B113" s="1574"/>
      <c r="C113" s="894" t="s">
        <v>475</v>
      </c>
      <c r="D113" s="370" t="s">
        <v>494</v>
      </c>
      <c r="E113" s="898"/>
      <c r="F113" s="1217">
        <v>1</v>
      </c>
      <c r="G113" s="294" t="s">
        <v>495</v>
      </c>
      <c r="H113" s="267" t="s">
        <v>48</v>
      </c>
      <c r="I113" s="267"/>
      <c r="J113" s="278" t="s">
        <v>479</v>
      </c>
      <c r="K113" s="376" t="s">
        <v>496</v>
      </c>
      <c r="L113" s="1018" t="s">
        <v>497</v>
      </c>
      <c r="M113" s="376" t="s">
        <v>498</v>
      </c>
      <c r="N113" s="376"/>
      <c r="O113" s="1037" t="s">
        <v>40</v>
      </c>
      <c r="P113" s="1037" t="s">
        <v>46</v>
      </c>
      <c r="Q113" s="376" t="s">
        <v>158</v>
      </c>
      <c r="R113" s="370" t="s">
        <v>40</v>
      </c>
      <c r="S113" s="1018" t="s">
        <v>499</v>
      </c>
      <c r="T113" s="267"/>
      <c r="U113" s="267"/>
      <c r="V113" s="267"/>
      <c r="W113" s="267" t="s">
        <v>50</v>
      </c>
      <c r="X113" s="267" t="s">
        <v>51</v>
      </c>
      <c r="Y113" s="267"/>
      <c r="Z113" s="370"/>
      <c r="AA113" s="898"/>
      <c r="AB113" s="898"/>
      <c r="AC113" s="404"/>
      <c r="AE113" s="1177"/>
    </row>
    <row r="114" spans="1:31" s="1012" customFormat="1" ht="45.75">
      <c r="A114" s="1559"/>
      <c r="B114" s="1574"/>
      <c r="C114" s="1011" t="s">
        <v>475</v>
      </c>
      <c r="D114" s="1167" t="s">
        <v>500</v>
      </c>
      <c r="E114" s="1168"/>
      <c r="F114" s="1169">
        <v>1</v>
      </c>
      <c r="G114" s="1169" t="s">
        <v>501</v>
      </c>
      <c r="H114" s="895" t="s">
        <v>48</v>
      </c>
      <c r="I114" s="895" t="s">
        <v>62</v>
      </c>
      <c r="J114" s="1011" t="s">
        <v>479</v>
      </c>
      <c r="K114" s="1153"/>
      <c r="L114" s="1170"/>
      <c r="M114" s="1153"/>
      <c r="N114" s="1153"/>
      <c r="O114" s="895"/>
      <c r="P114" s="895"/>
      <c r="Q114" s="1153"/>
      <c r="R114" s="895"/>
      <c r="S114" s="1153"/>
      <c r="T114" s="895"/>
      <c r="U114" s="895"/>
      <c r="V114" s="895"/>
      <c r="W114" s="895"/>
      <c r="X114" s="895"/>
      <c r="Y114" s="895"/>
      <c r="Z114" s="895"/>
      <c r="AA114" s="1171"/>
      <c r="AB114" s="1171"/>
      <c r="AC114" s="1154"/>
      <c r="AE114" s="1178"/>
    </row>
    <row r="115" spans="1:31" ht="30" customHeight="1">
      <c r="A115" s="1553" t="s">
        <v>502</v>
      </c>
      <c r="B115" s="1574"/>
      <c r="C115" s="274" t="s">
        <v>503</v>
      </c>
      <c r="D115" s="279"/>
      <c r="E115" s="280"/>
      <c r="F115" s="74">
        <v>1</v>
      </c>
      <c r="G115" s="74" t="s">
        <v>504</v>
      </c>
      <c r="H115" s="74" t="s">
        <v>48</v>
      </c>
      <c r="I115" s="267" t="s">
        <v>62</v>
      </c>
      <c r="J115" s="278" t="s">
        <v>479</v>
      </c>
      <c r="K115" s="20" t="s">
        <v>505</v>
      </c>
      <c r="L115" s="376" t="s">
        <v>506</v>
      </c>
      <c r="M115" s="20" t="s">
        <v>507</v>
      </c>
      <c r="N115" s="20" t="s">
        <v>62</v>
      </c>
      <c r="O115" s="1037" t="s">
        <v>40</v>
      </c>
      <c r="P115" s="1037" t="s">
        <v>46</v>
      </c>
      <c r="Q115" s="376" t="s">
        <v>158</v>
      </c>
      <c r="R115" s="267" t="s">
        <v>40</v>
      </c>
      <c r="S115" s="20" t="s">
        <v>205</v>
      </c>
      <c r="T115" s="74">
        <v>132</v>
      </c>
      <c r="U115" s="267">
        <v>7800</v>
      </c>
      <c r="V115" s="74">
        <v>2</v>
      </c>
      <c r="W115" s="267" t="s">
        <v>86</v>
      </c>
      <c r="X115" s="267" t="s">
        <v>51</v>
      </c>
      <c r="Y115" s="74" t="s">
        <v>206</v>
      </c>
      <c r="Z115" s="74" t="s">
        <v>207</v>
      </c>
      <c r="AA115" s="20">
        <v>0</v>
      </c>
      <c r="AB115" s="20"/>
      <c r="AC115" s="27" t="s">
        <v>208</v>
      </c>
      <c r="AE115" s="27" t="s">
        <v>208</v>
      </c>
    </row>
    <row r="116" spans="1:31" ht="29.1" customHeight="1">
      <c r="A116" s="1553"/>
      <c r="B116" s="1575"/>
      <c r="C116" s="74" t="s">
        <v>508</v>
      </c>
      <c r="D116" s="74"/>
      <c r="E116" s="74"/>
      <c r="F116" s="74">
        <v>1</v>
      </c>
      <c r="G116" s="74" t="s">
        <v>509</v>
      </c>
      <c r="H116" s="74" t="s">
        <v>48</v>
      </c>
      <c r="I116" s="276" t="s">
        <v>62</v>
      </c>
      <c r="J116" s="267" t="s">
        <v>479</v>
      </c>
      <c r="K116" s="20" t="s">
        <v>510</v>
      </c>
      <c r="L116" s="376" t="s">
        <v>511</v>
      </c>
      <c r="M116" s="20" t="s">
        <v>512</v>
      </c>
      <c r="N116" s="20" t="s">
        <v>62</v>
      </c>
      <c r="O116" s="1037" t="s">
        <v>40</v>
      </c>
      <c r="P116" s="1037" t="s">
        <v>46</v>
      </c>
      <c r="Q116" s="1023" t="s">
        <v>63</v>
      </c>
      <c r="R116" s="97" t="s">
        <v>40</v>
      </c>
      <c r="S116" s="21" t="s">
        <v>317</v>
      </c>
      <c r="T116" s="74">
        <v>32</v>
      </c>
      <c r="U116" s="267">
        <v>300</v>
      </c>
      <c r="V116" s="74">
        <v>2</v>
      </c>
      <c r="W116" s="267" t="s">
        <v>50</v>
      </c>
      <c r="X116" s="267" t="s">
        <v>51</v>
      </c>
      <c r="Y116" s="74" t="s">
        <v>52</v>
      </c>
      <c r="Z116" s="74" t="s">
        <v>52</v>
      </c>
      <c r="AA116" s="20">
        <v>0</v>
      </c>
      <c r="AB116" s="20"/>
      <c r="AC116" s="27" t="s">
        <v>513</v>
      </c>
      <c r="AE116" s="27" t="s">
        <v>513</v>
      </c>
    </row>
    <row r="117" spans="1:31" s="109" customFormat="1" ht="43.5" customHeight="1">
      <c r="A117" s="1553"/>
      <c r="B117" s="1564" t="s">
        <v>514</v>
      </c>
      <c r="C117" s="1567" t="s">
        <v>515</v>
      </c>
      <c r="D117" s="1568" t="s">
        <v>516</v>
      </c>
      <c r="E117" s="1569" t="s">
        <v>517</v>
      </c>
      <c r="F117" s="1568">
        <v>1</v>
      </c>
      <c r="G117" s="1569" t="s">
        <v>518</v>
      </c>
      <c r="H117" s="267" t="s">
        <v>40</v>
      </c>
      <c r="I117" s="1555">
        <f>COUNTIF(J117:J119,"=VIRTUAL")</f>
        <v>3</v>
      </c>
      <c r="J117" s="294" t="s">
        <v>41</v>
      </c>
      <c r="K117" s="376" t="s">
        <v>519</v>
      </c>
      <c r="L117" s="1152" t="s">
        <v>520</v>
      </c>
      <c r="M117" s="1018" t="s">
        <v>521</v>
      </c>
      <c r="N117" s="376"/>
      <c r="O117" s="1037" t="s">
        <v>46</v>
      </c>
      <c r="P117" s="1037" t="s">
        <v>46</v>
      </c>
      <c r="Q117" s="1023" t="s">
        <v>63</v>
      </c>
      <c r="R117" s="97" t="s">
        <v>40</v>
      </c>
      <c r="S117" s="119" t="s">
        <v>522</v>
      </c>
      <c r="T117" s="267"/>
      <c r="U117" s="267">
        <v>128</v>
      </c>
      <c r="V117" s="267"/>
      <c r="W117" s="267" t="s">
        <v>50</v>
      </c>
      <c r="X117" s="267" t="s">
        <v>51</v>
      </c>
      <c r="Y117" s="267"/>
      <c r="Z117" s="267"/>
      <c r="AA117" s="376"/>
      <c r="AB117" s="376"/>
      <c r="AC117" s="294"/>
      <c r="AE117" s="1177"/>
    </row>
    <row r="118" spans="1:31" s="109" customFormat="1" ht="43.5" customHeight="1">
      <c r="A118" s="1553"/>
      <c r="B118" s="1565"/>
      <c r="C118" s="1567"/>
      <c r="D118" s="1568"/>
      <c r="E118" s="1570"/>
      <c r="F118" s="1568"/>
      <c r="G118" s="1570"/>
      <c r="H118" s="267" t="s">
        <v>40</v>
      </c>
      <c r="I118" s="1556"/>
      <c r="J118" s="294" t="s">
        <v>41</v>
      </c>
      <c r="K118" s="376" t="s">
        <v>523</v>
      </c>
      <c r="L118" s="1018" t="s">
        <v>524</v>
      </c>
      <c r="M118" s="376" t="s">
        <v>525</v>
      </c>
      <c r="N118" s="376"/>
      <c r="O118" s="1037" t="s">
        <v>46</v>
      </c>
      <c r="P118" s="1037" t="s">
        <v>46</v>
      </c>
      <c r="Q118" s="1023" t="s">
        <v>63</v>
      </c>
      <c r="R118" s="97" t="s">
        <v>40</v>
      </c>
      <c r="S118" s="119" t="s">
        <v>522</v>
      </c>
      <c r="T118" s="267"/>
      <c r="U118" s="267">
        <v>260</v>
      </c>
      <c r="V118" s="267"/>
      <c r="W118" s="267" t="s">
        <v>50</v>
      </c>
      <c r="X118" s="267" t="s">
        <v>51</v>
      </c>
      <c r="Y118" s="267"/>
      <c r="Z118" s="267"/>
      <c r="AA118" s="376"/>
      <c r="AB118" s="376"/>
      <c r="AC118" s="294"/>
      <c r="AE118" s="1177"/>
    </row>
    <row r="119" spans="1:31" s="109" customFormat="1" ht="29.1" customHeight="1">
      <c r="A119" s="1553"/>
      <c r="B119" s="1566"/>
      <c r="C119" s="1567"/>
      <c r="D119" s="1568"/>
      <c r="E119" s="1571"/>
      <c r="F119" s="1568"/>
      <c r="G119" s="1571"/>
      <c r="H119" s="267" t="s">
        <v>40</v>
      </c>
      <c r="I119" s="1557"/>
      <c r="J119" s="294" t="s">
        <v>41</v>
      </c>
      <c r="K119" s="376" t="s">
        <v>526</v>
      </c>
      <c r="L119" s="1018" t="s">
        <v>527</v>
      </c>
      <c r="M119" s="1018" t="s">
        <v>528</v>
      </c>
      <c r="N119" s="376"/>
      <c r="O119" s="1037" t="s">
        <v>46</v>
      </c>
      <c r="P119" s="1037" t="s">
        <v>46</v>
      </c>
      <c r="Q119" s="1023" t="s">
        <v>63</v>
      </c>
      <c r="R119" s="97" t="s">
        <v>40</v>
      </c>
      <c r="S119" s="119" t="s">
        <v>522</v>
      </c>
      <c r="T119" s="267"/>
      <c r="U119" s="267">
        <v>29300</v>
      </c>
      <c r="V119" s="267"/>
      <c r="W119" s="267" t="s">
        <v>50</v>
      </c>
      <c r="X119" s="267" t="s">
        <v>51</v>
      </c>
      <c r="Y119" s="267"/>
      <c r="Z119" s="267"/>
      <c r="AA119" s="376"/>
      <c r="AB119" s="376"/>
      <c r="AC119" s="294"/>
      <c r="AE119" s="1177"/>
    </row>
    <row r="120" spans="1:31" s="109" customFormat="1" ht="72.599999999999994" customHeight="1">
      <c r="A120" s="1553"/>
      <c r="B120" s="267" t="s">
        <v>48</v>
      </c>
      <c r="C120" s="267" t="s">
        <v>508</v>
      </c>
      <c r="D120" s="267"/>
      <c r="E120" s="267"/>
      <c r="F120" s="267">
        <v>1</v>
      </c>
      <c r="G120" s="267" t="s">
        <v>529</v>
      </c>
      <c r="H120" s="267" t="s">
        <v>48</v>
      </c>
      <c r="I120" s="276" t="s">
        <v>62</v>
      </c>
      <c r="J120" s="267" t="s">
        <v>479</v>
      </c>
      <c r="K120" s="376" t="s">
        <v>530</v>
      </c>
      <c r="L120" s="376" t="s">
        <v>531</v>
      </c>
      <c r="M120" s="1018" t="s">
        <v>532</v>
      </c>
      <c r="N120" s="376" t="s">
        <v>62</v>
      </c>
      <c r="O120" s="1037" t="s">
        <v>46</v>
      </c>
      <c r="P120" s="1037" t="s">
        <v>46</v>
      </c>
      <c r="Q120" s="1023" t="s">
        <v>63</v>
      </c>
      <c r="R120" s="97" t="s">
        <v>40</v>
      </c>
      <c r="S120" s="376" t="s">
        <v>533</v>
      </c>
      <c r="T120" s="267" t="s">
        <v>62</v>
      </c>
      <c r="U120" s="267" t="s">
        <v>62</v>
      </c>
      <c r="V120" s="267" t="s">
        <v>62</v>
      </c>
      <c r="W120" s="267" t="s">
        <v>50</v>
      </c>
      <c r="X120" s="267" t="s">
        <v>51</v>
      </c>
      <c r="Y120" s="267" t="s">
        <v>52</v>
      </c>
      <c r="Z120" s="267" t="s">
        <v>52</v>
      </c>
      <c r="AA120" s="376">
        <v>0</v>
      </c>
      <c r="AB120" s="376"/>
      <c r="AC120" s="294" t="s">
        <v>534</v>
      </c>
      <c r="AE120" s="294" t="s">
        <v>534</v>
      </c>
    </row>
    <row r="121" spans="1:31" s="109" customFormat="1" ht="72.599999999999994" customHeight="1">
      <c r="A121" s="1553"/>
      <c r="B121" s="370" t="s">
        <v>48</v>
      </c>
      <c r="C121" s="370" t="s">
        <v>508</v>
      </c>
      <c r="D121" s="370"/>
      <c r="E121" s="370"/>
      <c r="F121" s="370">
        <v>1</v>
      </c>
      <c r="G121" s="370" t="s">
        <v>529</v>
      </c>
      <c r="H121" s="370" t="s">
        <v>48</v>
      </c>
      <c r="I121" s="277" t="s">
        <v>62</v>
      </c>
      <c r="J121" s="267" t="s">
        <v>479</v>
      </c>
      <c r="K121" s="376" t="s">
        <v>535</v>
      </c>
      <c r="L121" s="376" t="s">
        <v>536</v>
      </c>
      <c r="M121" s="1018" t="s">
        <v>537</v>
      </c>
      <c r="N121" s="376" t="s">
        <v>62</v>
      </c>
      <c r="O121" s="1037" t="s">
        <v>46</v>
      </c>
      <c r="P121" s="1037" t="s">
        <v>46</v>
      </c>
      <c r="Q121" s="1023" t="s">
        <v>63</v>
      </c>
      <c r="R121" s="97" t="s">
        <v>40</v>
      </c>
      <c r="S121" s="376" t="s">
        <v>533</v>
      </c>
      <c r="T121" s="267" t="s">
        <v>62</v>
      </c>
      <c r="U121" s="267" t="s">
        <v>62</v>
      </c>
      <c r="V121" s="267" t="s">
        <v>62</v>
      </c>
      <c r="W121" s="267" t="s">
        <v>50</v>
      </c>
      <c r="X121" s="267" t="s">
        <v>51</v>
      </c>
      <c r="Y121" s="267" t="s">
        <v>52</v>
      </c>
      <c r="Z121" s="267" t="s">
        <v>52</v>
      </c>
      <c r="AA121" s="376">
        <v>0</v>
      </c>
      <c r="AB121" s="376"/>
      <c r="AC121" s="294" t="s">
        <v>534</v>
      </c>
      <c r="AE121" s="294" t="s">
        <v>534</v>
      </c>
    </row>
    <row r="122" spans="1:31" ht="31.5" customHeight="1">
      <c r="A122" s="1553"/>
      <c r="B122" s="74" t="s">
        <v>48</v>
      </c>
      <c r="C122" s="74" t="s">
        <v>503</v>
      </c>
      <c r="D122" s="74"/>
      <c r="E122" s="74"/>
      <c r="F122" s="74">
        <v>1</v>
      </c>
      <c r="G122" s="74" t="s">
        <v>538</v>
      </c>
      <c r="H122" s="74" t="s">
        <v>48</v>
      </c>
      <c r="I122" s="276" t="s">
        <v>62</v>
      </c>
      <c r="J122" s="267" t="s">
        <v>479</v>
      </c>
      <c r="K122" s="20" t="s">
        <v>539</v>
      </c>
      <c r="L122" s="376" t="s">
        <v>439</v>
      </c>
      <c r="M122" s="20" t="s">
        <v>540</v>
      </c>
      <c r="N122" s="20"/>
      <c r="O122" s="1037" t="s">
        <v>46</v>
      </c>
      <c r="P122" s="1037" t="s">
        <v>40</v>
      </c>
      <c r="Q122" s="1151" t="s">
        <v>441</v>
      </c>
      <c r="R122" s="97" t="s">
        <v>48</v>
      </c>
      <c r="S122" s="20" t="s">
        <v>442</v>
      </c>
      <c r="T122" s="74">
        <v>16</v>
      </c>
      <c r="U122" s="267">
        <v>600</v>
      </c>
      <c r="V122" s="74">
        <v>1</v>
      </c>
      <c r="W122" s="267" t="s">
        <v>65</v>
      </c>
      <c r="X122" s="294" t="s">
        <v>51</v>
      </c>
      <c r="Y122" s="74" t="s">
        <v>52</v>
      </c>
      <c r="Z122" s="74" t="s">
        <v>52</v>
      </c>
      <c r="AA122" s="20">
        <v>0</v>
      </c>
      <c r="AB122" s="20"/>
      <c r="AC122" s="27" t="s">
        <v>40</v>
      </c>
      <c r="AD122" t="s">
        <v>53</v>
      </c>
      <c r="AE122" s="1177" t="s">
        <v>443</v>
      </c>
    </row>
    <row r="123" spans="1:31" s="109" customFormat="1" ht="43.5" customHeight="1">
      <c r="A123" s="1553"/>
      <c r="B123" s="267" t="s">
        <v>48</v>
      </c>
      <c r="C123" s="267" t="s">
        <v>503</v>
      </c>
      <c r="D123" s="267"/>
      <c r="E123" s="267"/>
      <c r="F123" s="398">
        <v>1</v>
      </c>
      <c r="G123" s="294" t="s">
        <v>541</v>
      </c>
      <c r="H123" s="267" t="s">
        <v>48</v>
      </c>
      <c r="I123" s="276" t="s">
        <v>62</v>
      </c>
      <c r="J123" s="267" t="s">
        <v>479</v>
      </c>
      <c r="K123" s="376" t="s">
        <v>542</v>
      </c>
      <c r="L123" s="1018" t="s">
        <v>543</v>
      </c>
      <c r="M123" s="376" t="s">
        <v>544</v>
      </c>
      <c r="N123" s="376" t="s">
        <v>62</v>
      </c>
      <c r="O123" s="1037" t="s">
        <v>46</v>
      </c>
      <c r="P123" s="1037" t="s">
        <v>40</v>
      </c>
      <c r="Q123" s="1530" t="s">
        <v>63</v>
      </c>
      <c r="R123" s="97" t="s">
        <v>40</v>
      </c>
      <c r="S123" s="376" t="s">
        <v>545</v>
      </c>
      <c r="T123" s="267">
        <v>32</v>
      </c>
      <c r="U123" s="267">
        <v>600</v>
      </c>
      <c r="V123" s="267">
        <v>1</v>
      </c>
      <c r="W123" s="267" t="s">
        <v>50</v>
      </c>
      <c r="X123" s="267" t="s">
        <v>51</v>
      </c>
      <c r="Y123" s="267" t="s">
        <v>52</v>
      </c>
      <c r="Z123" s="267" t="s">
        <v>52</v>
      </c>
      <c r="AA123" s="376">
        <v>0</v>
      </c>
      <c r="AB123" s="376"/>
      <c r="AC123" s="294" t="s">
        <v>546</v>
      </c>
      <c r="AE123" s="294" t="s">
        <v>546</v>
      </c>
    </row>
    <row r="124" spans="1:31" ht="15.6" customHeight="1">
      <c r="A124" s="1553"/>
      <c r="B124" s="74" t="s">
        <v>48</v>
      </c>
      <c r="C124" s="74" t="s">
        <v>508</v>
      </c>
      <c r="D124" s="74"/>
      <c r="E124" s="74"/>
      <c r="F124" s="74">
        <v>1</v>
      </c>
      <c r="G124" s="74" t="s">
        <v>547</v>
      </c>
      <c r="H124" s="74" t="s">
        <v>48</v>
      </c>
      <c r="I124" s="267" t="s">
        <v>62</v>
      </c>
      <c r="J124" s="267" t="s">
        <v>479</v>
      </c>
      <c r="K124" s="20" t="s">
        <v>548</v>
      </c>
      <c r="L124" s="376" t="s">
        <v>549</v>
      </c>
      <c r="M124" s="20" t="s">
        <v>550</v>
      </c>
      <c r="N124" s="20" t="s">
        <v>62</v>
      </c>
      <c r="O124" s="1037" t="s">
        <v>46</v>
      </c>
      <c r="P124" s="1037" t="s">
        <v>40</v>
      </c>
      <c r="Q124" s="20" t="s">
        <v>316</v>
      </c>
      <c r="R124" s="74" t="s">
        <v>40</v>
      </c>
      <c r="S124" s="20" t="s">
        <v>545</v>
      </c>
      <c r="T124" s="74">
        <v>128</v>
      </c>
      <c r="U124" s="267">
        <v>3576</v>
      </c>
      <c r="V124" s="74">
        <v>2</v>
      </c>
      <c r="W124" s="267" t="s">
        <v>50</v>
      </c>
      <c r="X124" s="267" t="s">
        <v>51</v>
      </c>
      <c r="Y124" s="74" t="s">
        <v>52</v>
      </c>
      <c r="Z124" s="74" t="s">
        <v>52</v>
      </c>
      <c r="AA124" s="20">
        <v>0</v>
      </c>
      <c r="AB124" s="20"/>
      <c r="AC124" s="27" t="s">
        <v>40</v>
      </c>
      <c r="AD124" t="s">
        <v>53</v>
      </c>
      <c r="AE124" s="1186" t="s">
        <v>551</v>
      </c>
    </row>
    <row r="125" spans="1:31" s="1012" customFormat="1" ht="30" customHeight="1">
      <c r="A125" s="1554"/>
      <c r="B125" s="895" t="s">
        <v>48</v>
      </c>
      <c r="C125" s="1154" t="s">
        <v>552</v>
      </c>
      <c r="D125" s="895"/>
      <c r="E125" s="895" t="s">
        <v>553</v>
      </c>
      <c r="F125" s="895">
        <v>1</v>
      </c>
      <c r="G125" s="1154" t="s">
        <v>554</v>
      </c>
      <c r="H125" s="895" t="s">
        <v>48</v>
      </c>
      <c r="I125" s="895"/>
      <c r="J125" s="895" t="s">
        <v>479</v>
      </c>
      <c r="K125" s="1153"/>
      <c r="L125" s="1153"/>
      <c r="M125" s="1153"/>
      <c r="N125" s="1153"/>
      <c r="O125" s="1155" t="s">
        <v>46</v>
      </c>
      <c r="P125" s="1155" t="s">
        <v>46</v>
      </c>
      <c r="Q125" s="1530" t="s">
        <v>63</v>
      </c>
      <c r="R125" s="1010"/>
      <c r="S125" s="1153" t="s">
        <v>555</v>
      </c>
      <c r="T125" s="895">
        <v>16</v>
      </c>
      <c r="U125" s="895"/>
      <c r="V125" s="895">
        <v>1</v>
      </c>
      <c r="W125" s="895" t="s">
        <v>50</v>
      </c>
      <c r="X125" s="895"/>
      <c r="Y125" s="895" t="s">
        <v>52</v>
      </c>
      <c r="Z125" s="895" t="s">
        <v>52</v>
      </c>
      <c r="AA125" s="1153">
        <v>0</v>
      </c>
      <c r="AB125" s="1153"/>
      <c r="AC125" s="1154"/>
      <c r="AE125" s="1189"/>
    </row>
    <row r="126" spans="1:31" ht="15.75">
      <c r="A126" s="18"/>
      <c r="B126" s="33"/>
      <c r="C126" s="33"/>
      <c r="D126" s="33"/>
      <c r="E126" s="33"/>
      <c r="F126" s="33"/>
      <c r="G126" s="33"/>
      <c r="H126" s="33"/>
      <c r="I126" s="35"/>
      <c r="J126" s="35"/>
      <c r="K126" s="340"/>
      <c r="L126" s="532"/>
      <c r="M126" s="340"/>
      <c r="N126" s="340"/>
      <c r="O126" s="340"/>
      <c r="P126" s="340"/>
      <c r="Q126" s="340"/>
      <c r="R126" s="341"/>
      <c r="S126" s="340"/>
      <c r="T126" s="341"/>
      <c r="U126" s="1600" t="s">
        <v>556</v>
      </c>
      <c r="V126" s="1600"/>
      <c r="W126" s="342"/>
      <c r="X126" s="342"/>
      <c r="Y126" s="341"/>
      <c r="Z126" s="341"/>
      <c r="AA126" s="340"/>
      <c r="AB126" s="340"/>
      <c r="AC126" s="712"/>
      <c r="AE126" s="327"/>
    </row>
    <row r="127" spans="1:31" ht="15.75">
      <c r="A127" s="26" t="s">
        <v>557</v>
      </c>
      <c r="B127" s="34"/>
      <c r="C127" s="34"/>
      <c r="D127" s="34"/>
      <c r="E127" s="34"/>
      <c r="F127" s="34" t="s">
        <v>558</v>
      </c>
      <c r="G127" s="34"/>
      <c r="H127" s="34"/>
      <c r="I127" s="36" t="s">
        <v>559</v>
      </c>
      <c r="J127" s="36"/>
      <c r="K127" s="306"/>
      <c r="L127" s="593"/>
      <c r="M127" s="306"/>
      <c r="N127" s="306"/>
      <c r="O127" s="306"/>
      <c r="P127" s="306"/>
      <c r="Q127" s="306"/>
      <c r="R127" s="323"/>
      <c r="S127" s="306"/>
      <c r="T127" s="323"/>
      <c r="U127" s="324">
        <f>SUM(U8:U124)</f>
        <v>70164.576000000001</v>
      </c>
      <c r="V127" s="324" t="s">
        <v>560</v>
      </c>
      <c r="W127" s="546"/>
      <c r="X127" s="546">
        <f>COUNTIF(X8:X126,"PRO*")</f>
        <v>93</v>
      </c>
      <c r="Y127" s="323"/>
      <c r="Z127" s="323"/>
      <c r="AA127" s="306" t="s">
        <v>561</v>
      </c>
      <c r="AB127" s="306"/>
      <c r="AC127" s="729"/>
      <c r="AE127" s="327"/>
    </row>
    <row r="128" spans="1:31" ht="15.75" customHeight="1">
      <c r="A128" s="18" t="e">
        <f>F128+I128</f>
        <v>#REF!</v>
      </c>
      <c r="B128" s="33"/>
      <c r="C128" s="33"/>
      <c r="D128" s="33"/>
      <c r="E128" s="33"/>
      <c r="F128" s="33">
        <f>SUM(F8:F124)</f>
        <v>25</v>
      </c>
      <c r="G128" s="33"/>
      <c r="H128" s="33"/>
      <c r="I128" s="35" t="e">
        <f>I8+I98+I104+#REF!+I109+I117</f>
        <v>#REF!</v>
      </c>
      <c r="J128" s="35"/>
      <c r="K128" s="340"/>
      <c r="L128" s="532"/>
      <c r="M128" s="1609" t="s">
        <v>562</v>
      </c>
      <c r="N128" s="1610"/>
      <c r="O128" s="1611">
        <f>COUNTIF(O8:O125,"S*")</f>
        <v>52</v>
      </c>
      <c r="P128" s="1611">
        <f>COUNTIF(P8:P125,"S*")</f>
        <v>40</v>
      </c>
      <c r="Q128" s="340"/>
      <c r="R128" s="1611">
        <f>COUNTIF(R8:R124,"S*")</f>
        <v>99</v>
      </c>
      <c r="S128" s="340"/>
      <c r="T128" s="341"/>
      <c r="U128" s="311">
        <f>(U127/1024)</f>
        <v>68.520093750000001</v>
      </c>
      <c r="V128" s="311" t="s">
        <v>563</v>
      </c>
      <c r="W128" s="342"/>
      <c r="X128" s="342"/>
      <c r="Y128" s="341"/>
      <c r="Z128" s="341"/>
      <c r="AA128" s="340">
        <v>11610</v>
      </c>
      <c r="AB128" s="340"/>
      <c r="AC128" s="712"/>
      <c r="AE128" s="327"/>
    </row>
    <row r="129" spans="1:31" ht="15" customHeight="1">
      <c r="M129" s="1609"/>
      <c r="N129" s="1610"/>
      <c r="O129" s="1611"/>
      <c r="P129" s="1611"/>
      <c r="R129" s="1611"/>
      <c r="AE129" s="327"/>
    </row>
    <row r="130" spans="1:31" ht="15" customHeight="1">
      <c r="M130" s="1610" t="s">
        <v>564</v>
      </c>
      <c r="N130" s="1612"/>
      <c r="O130" s="679">
        <f>COUNTIF(O104:O106,"s*")+COUNTIF(O107:O108,"s*")</f>
        <v>0</v>
      </c>
      <c r="P130" s="679">
        <f>COUNTIF(P104:P106,"s*")+COUNTIF(P107:P108,"s*")</f>
        <v>0</v>
      </c>
      <c r="AE130" s="327"/>
    </row>
    <row r="131" spans="1:31" ht="15" customHeight="1">
      <c r="A131" s="1615" t="s">
        <v>565</v>
      </c>
      <c r="B131" s="1616"/>
      <c r="C131" s="1616"/>
      <c r="D131" s="1616"/>
      <c r="E131" s="1616"/>
      <c r="F131" s="1616"/>
      <c r="G131" s="1616"/>
      <c r="H131" s="1616"/>
      <c r="I131" s="1616"/>
      <c r="J131" s="1616"/>
      <c r="K131" s="1617"/>
      <c r="L131" s="594"/>
      <c r="M131" s="1610" t="s">
        <v>566</v>
      </c>
      <c r="N131" s="1612"/>
      <c r="O131" s="679">
        <f>O128-O130</f>
        <v>52</v>
      </c>
      <c r="P131" s="679">
        <f>P128-P130</f>
        <v>40</v>
      </c>
      <c r="AE131" s="327"/>
    </row>
    <row r="132" spans="1:31" ht="28.5" customHeight="1">
      <c r="A132" s="1613" t="s">
        <v>567</v>
      </c>
      <c r="B132" s="1613"/>
      <c r="C132" s="1614" t="s">
        <v>568</v>
      </c>
      <c r="D132" s="1614"/>
      <c r="E132" s="1614"/>
      <c r="F132" s="1614"/>
      <c r="G132" s="1614"/>
      <c r="H132" s="368" t="s">
        <v>569</v>
      </c>
      <c r="I132" s="368" t="s">
        <v>19</v>
      </c>
      <c r="J132" s="368" t="s">
        <v>570</v>
      </c>
      <c r="K132" s="368" t="s">
        <v>571</v>
      </c>
      <c r="AE132" s="327"/>
    </row>
    <row r="133" spans="1:31" ht="32.25" customHeight="1">
      <c r="A133" s="1620" t="s">
        <v>572</v>
      </c>
      <c r="B133" s="1621"/>
      <c r="C133" s="1620" t="s">
        <v>573</v>
      </c>
      <c r="D133" s="1620"/>
      <c r="E133" s="1620"/>
      <c r="F133" s="1620"/>
      <c r="G133" s="1620"/>
      <c r="H133" s="135" t="s">
        <v>574</v>
      </c>
      <c r="I133" s="338" t="s">
        <v>63</v>
      </c>
      <c r="J133" s="337"/>
      <c r="K133" s="369" t="s">
        <v>575</v>
      </c>
      <c r="M133" s="897" t="s">
        <v>576</v>
      </c>
      <c r="N133" s="896">
        <v>85</v>
      </c>
      <c r="AE133" s="327"/>
    </row>
    <row r="134" spans="1:31" ht="32.25" customHeight="1">
      <c r="A134" s="1618" t="s">
        <v>577</v>
      </c>
      <c r="B134" s="1618"/>
      <c r="C134" s="1619" t="s">
        <v>578</v>
      </c>
      <c r="D134" s="1619"/>
      <c r="E134" s="1618"/>
      <c r="F134" s="1618"/>
      <c r="G134" s="1618"/>
      <c r="H134" s="135" t="s">
        <v>579</v>
      </c>
      <c r="I134" s="503" t="s">
        <v>578</v>
      </c>
      <c r="J134" s="337"/>
      <c r="K134" s="369" t="s">
        <v>580</v>
      </c>
      <c r="M134" s="897" t="s">
        <v>581</v>
      </c>
      <c r="N134" s="896">
        <v>9</v>
      </c>
      <c r="AE134" s="327"/>
    </row>
    <row r="135" spans="1:31" ht="32.25" customHeight="1">
      <c r="A135" s="1619" t="s">
        <v>577</v>
      </c>
      <c r="B135" s="1618"/>
      <c r="C135" s="1619" t="s">
        <v>582</v>
      </c>
      <c r="D135" s="1619"/>
      <c r="E135" s="1618"/>
      <c r="F135" s="1618"/>
      <c r="G135" s="1618"/>
      <c r="H135" s="135" t="s">
        <v>583</v>
      </c>
      <c r="I135" s="503" t="s">
        <v>584</v>
      </c>
      <c r="J135" s="337"/>
      <c r="K135" s="633" t="s">
        <v>585</v>
      </c>
      <c r="AE135" s="327"/>
    </row>
    <row r="136" spans="1:31" ht="32.25" customHeight="1">
      <c r="A136" s="1619" t="s">
        <v>577</v>
      </c>
      <c r="B136" s="1618"/>
      <c r="C136" s="1619" t="s">
        <v>451</v>
      </c>
      <c r="D136" s="1619"/>
      <c r="E136" s="1618"/>
      <c r="F136" s="1618"/>
      <c r="G136" s="1618"/>
      <c r="H136" s="135" t="s">
        <v>586</v>
      </c>
      <c r="I136" s="338" t="s">
        <v>587</v>
      </c>
      <c r="J136" s="337"/>
      <c r="K136" s="525" t="s">
        <v>588</v>
      </c>
      <c r="AE136" s="327"/>
    </row>
    <row r="137" spans="1:31" ht="32.25" customHeight="1">
      <c r="A137" s="1619" t="s">
        <v>577</v>
      </c>
      <c r="B137" s="1618"/>
      <c r="C137" s="1622" t="s">
        <v>589</v>
      </c>
      <c r="D137" s="1622"/>
      <c r="E137" s="1623"/>
      <c r="F137" s="1623"/>
      <c r="G137" s="1623"/>
      <c r="H137" s="159" t="s">
        <v>590</v>
      </c>
      <c r="I137" s="338" t="s">
        <v>63</v>
      </c>
      <c r="J137" s="339"/>
      <c r="K137" s="1522">
        <v>59.9</v>
      </c>
      <c r="M137" s="327"/>
      <c r="AE137" s="327"/>
    </row>
    <row r="138" spans="1:31" ht="32.25" customHeight="1">
      <c r="A138" s="1619" t="s">
        <v>577</v>
      </c>
      <c r="B138" s="1625"/>
      <c r="C138" s="1624" t="s">
        <v>591</v>
      </c>
      <c r="D138" s="1624"/>
      <c r="E138" s="1624"/>
      <c r="F138" s="1624"/>
      <c r="G138" s="1624"/>
      <c r="H138" s="127" t="s">
        <v>592</v>
      </c>
      <c r="I138" s="337"/>
      <c r="J138" s="337"/>
      <c r="K138" s="527" t="s">
        <v>593</v>
      </c>
      <c r="AE138" s="327"/>
    </row>
    <row r="139" spans="1:31" ht="32.25" customHeight="1">
      <c r="A139" s="1622" t="s">
        <v>577</v>
      </c>
      <c r="B139" s="1627"/>
      <c r="C139" s="1628" t="s">
        <v>594</v>
      </c>
      <c r="D139" s="1628"/>
      <c r="E139" s="1628"/>
      <c r="F139" s="1628"/>
      <c r="G139" s="1628"/>
      <c r="H139" s="160" t="s">
        <v>595</v>
      </c>
      <c r="I139" s="338" t="s">
        <v>63</v>
      </c>
      <c r="J139" s="154"/>
      <c r="K139" s="1391" t="s">
        <v>596</v>
      </c>
      <c r="AE139" s="327"/>
    </row>
    <row r="140" spans="1:31" ht="32.25" customHeight="1">
      <c r="A140" s="1628"/>
      <c r="B140" s="1628"/>
      <c r="C140" s="1628" t="s">
        <v>597</v>
      </c>
      <c r="D140" s="1628"/>
      <c r="E140" s="1628"/>
      <c r="F140" s="1628"/>
      <c r="G140" s="1628"/>
      <c r="H140" s="160" t="s">
        <v>598</v>
      </c>
      <c r="I140" s="338" t="s">
        <v>63</v>
      </c>
      <c r="J140" s="154"/>
      <c r="K140" s="529" t="s">
        <v>599</v>
      </c>
      <c r="AE140" s="327"/>
    </row>
    <row r="141" spans="1:31" ht="32.25" customHeight="1">
      <c r="A141" s="1624" t="s">
        <v>600</v>
      </c>
      <c r="B141" s="1625"/>
      <c r="C141" s="1624" t="s">
        <v>601</v>
      </c>
      <c r="D141" s="1624"/>
      <c r="E141" s="1624"/>
      <c r="F141" s="1624"/>
      <c r="G141" s="1624"/>
      <c r="H141" s="506" t="s">
        <v>602</v>
      </c>
      <c r="I141" s="338" t="s">
        <v>63</v>
      </c>
      <c r="J141" s="38"/>
      <c r="K141" s="527" t="s">
        <v>603</v>
      </c>
      <c r="AE141" s="327"/>
    </row>
    <row r="142" spans="1:31" ht="15" customHeight="1">
      <c r="A142" s="1626"/>
      <c r="B142" s="1626"/>
      <c r="C142" s="1626"/>
      <c r="D142" s="1626"/>
      <c r="E142" s="1626"/>
      <c r="F142" s="1626"/>
      <c r="G142" s="1626"/>
      <c r="K142" s="505" t="s">
        <v>604</v>
      </c>
      <c r="AE142" s="327"/>
    </row>
    <row r="143" spans="1:31" ht="15" customHeight="1">
      <c r="AE143" s="327"/>
    </row>
    <row r="144" spans="1:31" ht="15" customHeight="1">
      <c r="AE144" s="327"/>
    </row>
    <row r="145" spans="31:31" ht="15" customHeight="1">
      <c r="AE145" s="327"/>
    </row>
    <row r="146" spans="31:31" ht="15" customHeight="1">
      <c r="AE146" s="327"/>
    </row>
    <row r="147" spans="31:31" ht="15.75">
      <c r="AE147" s="327"/>
    </row>
    <row r="148" spans="31:31" ht="15" customHeight="1">
      <c r="AE148" s="327"/>
    </row>
    <row r="149" spans="31:31" ht="15" customHeight="1">
      <c r="AE149" s="327"/>
    </row>
    <row r="150" spans="31:31" ht="15" customHeight="1">
      <c r="AE150" s="327"/>
    </row>
    <row r="151" spans="31:31" ht="15" customHeight="1">
      <c r="AE151" s="327"/>
    </row>
    <row r="152" spans="31:31" ht="15" customHeight="1">
      <c r="AE152" s="327"/>
    </row>
    <row r="153" spans="31:31" ht="15" customHeight="1">
      <c r="AE153" s="327"/>
    </row>
    <row r="154" spans="31:31" ht="15" customHeight="1">
      <c r="AE154" s="327"/>
    </row>
    <row r="155" spans="31:31" ht="15" customHeight="1">
      <c r="AE155" s="327"/>
    </row>
    <row r="156" spans="31:31" ht="15" customHeight="1">
      <c r="AE156" s="327"/>
    </row>
    <row r="157" spans="31:31" ht="15" customHeight="1">
      <c r="AE157" s="327"/>
    </row>
    <row r="158" spans="31:31" ht="15" customHeight="1">
      <c r="AE158" s="327"/>
    </row>
    <row r="159" spans="31:31" ht="15" customHeight="1">
      <c r="AE159" s="327"/>
    </row>
    <row r="160" spans="31:31" ht="15" customHeight="1">
      <c r="AE160" s="327"/>
    </row>
    <row r="161" spans="31:31" ht="15" customHeight="1">
      <c r="AE161" s="327"/>
    </row>
    <row r="162" spans="31:31" ht="15" customHeight="1">
      <c r="AE162" s="327"/>
    </row>
    <row r="163" spans="31:31" ht="15" customHeight="1">
      <c r="AE163" s="327"/>
    </row>
    <row r="164" spans="31:31" ht="15" customHeight="1">
      <c r="AE164" s="327"/>
    </row>
    <row r="165" spans="31:31" ht="15" customHeight="1">
      <c r="AE165" s="327"/>
    </row>
    <row r="166" spans="31:31" ht="15" customHeight="1">
      <c r="AE166" s="327"/>
    </row>
    <row r="167" spans="31:31" ht="15" customHeight="1">
      <c r="AE167" s="327"/>
    </row>
    <row r="168" spans="31:31" ht="15" customHeight="1">
      <c r="AE168" s="327"/>
    </row>
    <row r="169" spans="31:31" ht="15" customHeight="1">
      <c r="AE169" s="327"/>
    </row>
    <row r="170" spans="31:31" ht="15" customHeight="1">
      <c r="AE170" s="327"/>
    </row>
    <row r="171" spans="31:31" ht="15" customHeight="1">
      <c r="AE171" s="327"/>
    </row>
    <row r="172" spans="31:31" ht="15" customHeight="1">
      <c r="AE172" s="327"/>
    </row>
    <row r="173" spans="31:31" ht="15" customHeight="1">
      <c r="AE173" s="327"/>
    </row>
    <row r="174" spans="31:31" ht="15" customHeight="1">
      <c r="AE174" s="327"/>
    </row>
    <row r="175" spans="31:31" ht="15" customHeight="1">
      <c r="AE175" s="327"/>
    </row>
    <row r="176" spans="31:31" ht="15" customHeight="1">
      <c r="AE176" s="327"/>
    </row>
    <row r="177" spans="31:31" ht="15" customHeight="1">
      <c r="AE177" s="327"/>
    </row>
    <row r="178" spans="31:31" ht="15" customHeight="1">
      <c r="AE178" s="327"/>
    </row>
    <row r="179" spans="31:31" ht="15" customHeight="1">
      <c r="AE179" s="327"/>
    </row>
    <row r="180" spans="31:31" ht="15" customHeight="1">
      <c r="AE180" s="327"/>
    </row>
    <row r="181" spans="31:31" ht="15" customHeight="1">
      <c r="AE181" s="327"/>
    </row>
    <row r="182" spans="31:31" ht="15" customHeight="1">
      <c r="AE182" s="327"/>
    </row>
    <row r="183" spans="31:31" ht="15" customHeight="1">
      <c r="AE183" s="327"/>
    </row>
    <row r="184" spans="31:31" ht="15" customHeight="1">
      <c r="AE184" s="327"/>
    </row>
    <row r="185" spans="31:31" ht="15" customHeight="1">
      <c r="AE185" s="327"/>
    </row>
    <row r="186" spans="31:31" ht="15" customHeight="1">
      <c r="AE186" s="327"/>
    </row>
    <row r="187" spans="31:31" ht="15" customHeight="1">
      <c r="AE187" s="327"/>
    </row>
    <row r="188" spans="31:31" ht="15" customHeight="1">
      <c r="AE188" s="327"/>
    </row>
    <row r="189" spans="31:31" ht="15" customHeight="1">
      <c r="AE189" s="327"/>
    </row>
    <row r="190" spans="31:31" ht="15" customHeight="1">
      <c r="AE190" s="327"/>
    </row>
    <row r="191" spans="31:31" ht="15" customHeight="1">
      <c r="AE191" s="327"/>
    </row>
    <row r="192" spans="31:31" ht="15" customHeight="1">
      <c r="AE192" s="327"/>
    </row>
    <row r="193" spans="31:31" ht="15" customHeight="1">
      <c r="AE193" s="327"/>
    </row>
    <row r="194" spans="31:31" ht="15" customHeight="1">
      <c r="AE194" s="327"/>
    </row>
    <row r="195" spans="31:31" ht="15" customHeight="1">
      <c r="AE195" s="327"/>
    </row>
    <row r="196" spans="31:31" ht="15" customHeight="1">
      <c r="AE196" s="327"/>
    </row>
    <row r="197" spans="31:31" ht="15" customHeight="1">
      <c r="AE197" s="327"/>
    </row>
    <row r="198" spans="31:31" ht="15" customHeight="1">
      <c r="AE198" s="327"/>
    </row>
    <row r="199" spans="31:31" ht="15" customHeight="1">
      <c r="AE199" s="327"/>
    </row>
    <row r="200" spans="31:31" ht="15" customHeight="1">
      <c r="AE200" s="327"/>
    </row>
    <row r="201" spans="31:31" ht="15" customHeight="1">
      <c r="AE201" s="327"/>
    </row>
    <row r="202" spans="31:31" ht="15" customHeight="1">
      <c r="AE202" s="327"/>
    </row>
    <row r="203" spans="31:31" ht="15" customHeight="1">
      <c r="AE203" s="327"/>
    </row>
    <row r="204" spans="31:31" ht="15" customHeight="1">
      <c r="AE204" s="327"/>
    </row>
    <row r="205" spans="31:31" ht="15" customHeight="1">
      <c r="AE205" s="327"/>
    </row>
    <row r="206" spans="31:31" ht="15" customHeight="1">
      <c r="AE206" s="327"/>
    </row>
    <row r="207" spans="31:31" ht="15" customHeight="1">
      <c r="AE207" s="327"/>
    </row>
    <row r="208" spans="31:31" ht="15" customHeight="1">
      <c r="AE208" s="327"/>
    </row>
    <row r="209" spans="31:31" ht="15" customHeight="1">
      <c r="AE209" s="327"/>
    </row>
    <row r="210" spans="31:31" ht="15" customHeight="1">
      <c r="AE210" s="327"/>
    </row>
    <row r="211" spans="31:31" ht="15" customHeight="1">
      <c r="AE211" s="327"/>
    </row>
    <row r="212" spans="31:31" ht="15" customHeight="1">
      <c r="AE212" s="327"/>
    </row>
    <row r="213" spans="31:31" ht="15" customHeight="1">
      <c r="AE213" s="327"/>
    </row>
    <row r="214" spans="31:31" ht="15" customHeight="1">
      <c r="AE214" s="327"/>
    </row>
    <row r="215" spans="31:31" ht="15" customHeight="1">
      <c r="AE215" s="327"/>
    </row>
    <row r="216" spans="31:31" ht="15" customHeight="1">
      <c r="AE216" s="327"/>
    </row>
    <row r="217" spans="31:31" ht="15" customHeight="1">
      <c r="AE217" s="327"/>
    </row>
    <row r="218" spans="31:31" ht="15" customHeight="1">
      <c r="AE218" s="327"/>
    </row>
    <row r="219" spans="31:31" ht="15" customHeight="1">
      <c r="AE219" s="327"/>
    </row>
    <row r="220" spans="31:31" ht="15" customHeight="1">
      <c r="AE220" s="327"/>
    </row>
    <row r="221" spans="31:31" ht="15" customHeight="1">
      <c r="AE221" s="327"/>
    </row>
    <row r="222" spans="31:31" ht="15" customHeight="1">
      <c r="AE222" s="327"/>
    </row>
    <row r="223" spans="31:31" ht="15" customHeight="1">
      <c r="AE223" s="327"/>
    </row>
    <row r="224" spans="31:31" ht="15" customHeight="1">
      <c r="AE224" s="327"/>
    </row>
    <row r="225" spans="31:31" ht="15" customHeight="1">
      <c r="AE225" s="327"/>
    </row>
    <row r="226" spans="31:31" ht="15" customHeight="1">
      <c r="AE226" s="327"/>
    </row>
    <row r="227" spans="31:31" ht="15" customHeight="1">
      <c r="AE227" s="327"/>
    </row>
    <row r="228" spans="31:31" ht="15" customHeight="1">
      <c r="AE228" s="327"/>
    </row>
    <row r="229" spans="31:31" ht="15" customHeight="1">
      <c r="AE229" s="327"/>
    </row>
    <row r="230" spans="31:31" ht="15" customHeight="1">
      <c r="AE230" s="327"/>
    </row>
    <row r="231" spans="31:31" ht="15" customHeight="1">
      <c r="AE231" s="327"/>
    </row>
    <row r="232" spans="31:31" ht="15" customHeight="1">
      <c r="AE232" s="327"/>
    </row>
    <row r="233" spans="31:31" ht="15" customHeight="1">
      <c r="AE233" s="327"/>
    </row>
    <row r="234" spans="31:31" ht="15" customHeight="1">
      <c r="AE234" s="327"/>
    </row>
    <row r="235" spans="31:31" ht="15" customHeight="1">
      <c r="AE235" s="327"/>
    </row>
    <row r="236" spans="31:31" ht="15" customHeight="1">
      <c r="AE236" s="327"/>
    </row>
    <row r="237" spans="31:31" ht="15" customHeight="1">
      <c r="AE237" s="327"/>
    </row>
    <row r="238" spans="31:31" ht="15" customHeight="1">
      <c r="AE238" s="327"/>
    </row>
    <row r="239" spans="31:31" ht="15" customHeight="1">
      <c r="AE239" s="327"/>
    </row>
    <row r="240" spans="31:31" ht="15" customHeight="1">
      <c r="AE240" s="327"/>
    </row>
    <row r="241" spans="31:31" ht="15" customHeight="1">
      <c r="AE241" s="327"/>
    </row>
    <row r="242" spans="31:31" ht="15" customHeight="1">
      <c r="AE242" s="327"/>
    </row>
    <row r="243" spans="31:31" ht="15" customHeight="1">
      <c r="AE243" s="327"/>
    </row>
    <row r="244" spans="31:31" ht="15" customHeight="1">
      <c r="AE244" s="327"/>
    </row>
    <row r="245" spans="31:31" ht="15" customHeight="1">
      <c r="AE245" s="327"/>
    </row>
    <row r="246" spans="31:31" ht="15" customHeight="1">
      <c r="AE246" s="327"/>
    </row>
    <row r="247" spans="31:31" ht="15" customHeight="1">
      <c r="AE247" s="327"/>
    </row>
    <row r="248" spans="31:31" ht="15" customHeight="1">
      <c r="AE248" s="327"/>
    </row>
    <row r="249" spans="31:31" ht="15" customHeight="1">
      <c r="AE249" s="327"/>
    </row>
    <row r="250" spans="31:31" ht="15" customHeight="1">
      <c r="AE250" s="327"/>
    </row>
    <row r="251" spans="31:31" ht="15" customHeight="1">
      <c r="AE251" s="327"/>
    </row>
    <row r="252" spans="31:31" ht="15" customHeight="1">
      <c r="AE252" s="327"/>
    </row>
    <row r="253" spans="31:31" ht="15" customHeight="1">
      <c r="AE253" s="327"/>
    </row>
    <row r="254" spans="31:31" ht="15" customHeight="1">
      <c r="AE254" s="327"/>
    </row>
    <row r="255" spans="31:31" ht="15" customHeight="1">
      <c r="AE255" s="327"/>
    </row>
    <row r="256" spans="31:31" ht="15" customHeight="1">
      <c r="AE256" s="327"/>
    </row>
    <row r="257" spans="31:31" ht="15" customHeight="1">
      <c r="AE257" s="327"/>
    </row>
    <row r="258" spans="31:31" ht="15" customHeight="1">
      <c r="AE258" s="327"/>
    </row>
    <row r="259" spans="31:31" ht="15" customHeight="1">
      <c r="AE259" s="327"/>
    </row>
    <row r="260" spans="31:31" ht="15" customHeight="1">
      <c r="AE260" s="327"/>
    </row>
    <row r="261" spans="31:31" ht="15" customHeight="1">
      <c r="AE261" s="327"/>
    </row>
    <row r="262" spans="31:31" ht="15" customHeight="1">
      <c r="AE262" s="327"/>
    </row>
    <row r="263" spans="31:31" ht="15" customHeight="1">
      <c r="AE263" s="327"/>
    </row>
    <row r="264" spans="31:31" ht="15" customHeight="1">
      <c r="AE264" s="327"/>
    </row>
    <row r="265" spans="31:31" ht="15" customHeight="1">
      <c r="AE265" s="327"/>
    </row>
    <row r="266" spans="31:31" ht="15" customHeight="1">
      <c r="AE266" s="327"/>
    </row>
    <row r="267" spans="31:31" ht="15" customHeight="1">
      <c r="AE267" s="327"/>
    </row>
    <row r="268" spans="31:31" ht="15" customHeight="1">
      <c r="AE268" s="327"/>
    </row>
    <row r="269" spans="31:31" ht="15" customHeight="1">
      <c r="AE269" s="327"/>
    </row>
    <row r="270" spans="31:31" ht="15" customHeight="1">
      <c r="AE270" s="327"/>
    </row>
    <row r="271" spans="31:31" ht="15" customHeight="1">
      <c r="AE271" s="327"/>
    </row>
    <row r="272" spans="31:31" ht="15" customHeight="1">
      <c r="AE272" s="327"/>
    </row>
    <row r="273" spans="31:31" ht="15" customHeight="1">
      <c r="AE273" s="327"/>
    </row>
    <row r="274" spans="31:31" ht="15" customHeight="1">
      <c r="AE274" s="327"/>
    </row>
    <row r="275" spans="31:31" ht="15" customHeight="1">
      <c r="AE275" s="327"/>
    </row>
    <row r="276" spans="31:31" ht="15" customHeight="1">
      <c r="AE276" s="327"/>
    </row>
    <row r="277" spans="31:31" ht="15" customHeight="1">
      <c r="AE277" s="327"/>
    </row>
    <row r="278" spans="31:31" ht="15" customHeight="1">
      <c r="AE278" s="327"/>
    </row>
    <row r="279" spans="31:31" ht="15" customHeight="1">
      <c r="AE279" s="327"/>
    </row>
    <row r="280" spans="31:31" ht="15" customHeight="1">
      <c r="AE280" s="327"/>
    </row>
    <row r="281" spans="31:31" ht="15" customHeight="1">
      <c r="AE281" s="327"/>
    </row>
    <row r="282" spans="31:31" ht="15" customHeight="1">
      <c r="AE282" s="327"/>
    </row>
    <row r="283" spans="31:31" ht="15" customHeight="1">
      <c r="AE283" s="327"/>
    </row>
    <row r="284" spans="31:31" ht="15" customHeight="1">
      <c r="AE284" s="327"/>
    </row>
    <row r="285" spans="31:31" ht="15" customHeight="1">
      <c r="AE285" s="327"/>
    </row>
    <row r="286" spans="31:31" ht="15" customHeight="1">
      <c r="AE286" s="327"/>
    </row>
    <row r="287" spans="31:31" ht="15" customHeight="1">
      <c r="AE287" s="327"/>
    </row>
    <row r="288" spans="31:31" ht="15" customHeight="1">
      <c r="AE288" s="327"/>
    </row>
    <row r="289" spans="31:31" ht="15" customHeight="1">
      <c r="AE289" s="327"/>
    </row>
    <row r="290" spans="31:31" ht="15" customHeight="1">
      <c r="AE290" s="327"/>
    </row>
    <row r="291" spans="31:31" ht="15" customHeight="1">
      <c r="AE291" s="327"/>
    </row>
    <row r="292" spans="31:31" ht="15" customHeight="1">
      <c r="AE292" s="327"/>
    </row>
    <row r="293" spans="31:31" ht="15" customHeight="1">
      <c r="AE293" s="327"/>
    </row>
    <row r="294" spans="31:31" ht="15" customHeight="1">
      <c r="AE294" s="327"/>
    </row>
    <row r="295" spans="31:31" ht="15" customHeight="1">
      <c r="AE295" s="327"/>
    </row>
    <row r="296" spans="31:31" ht="15" customHeight="1">
      <c r="AE296" s="327"/>
    </row>
    <row r="297" spans="31:31" ht="15" customHeight="1">
      <c r="AE297" s="327"/>
    </row>
    <row r="298" spans="31:31" ht="15" customHeight="1">
      <c r="AE298" s="327"/>
    </row>
    <row r="299" spans="31:31" ht="15" customHeight="1">
      <c r="AE299" s="327"/>
    </row>
    <row r="300" spans="31:31" ht="15" customHeight="1">
      <c r="AE300" s="327"/>
    </row>
    <row r="301" spans="31:31" ht="15" customHeight="1">
      <c r="AE301" s="327"/>
    </row>
    <row r="302" spans="31:31" ht="15" customHeight="1">
      <c r="AE302" s="327"/>
    </row>
    <row r="303" spans="31:31" ht="15" customHeight="1">
      <c r="AE303" s="327"/>
    </row>
    <row r="304" spans="31:31" ht="15" customHeight="1">
      <c r="AE304" s="327"/>
    </row>
    <row r="305" spans="31:31" ht="15" customHeight="1">
      <c r="AE305" s="327"/>
    </row>
    <row r="306" spans="31:31" ht="15" customHeight="1">
      <c r="AE306" s="327"/>
    </row>
    <row r="307" spans="31:31" ht="15" customHeight="1">
      <c r="AE307" s="327"/>
    </row>
    <row r="308" spans="31:31" ht="15" customHeight="1">
      <c r="AE308" s="327"/>
    </row>
    <row r="309" spans="31:31" ht="15" customHeight="1">
      <c r="AE309" s="327"/>
    </row>
    <row r="310" spans="31:31" ht="15" customHeight="1">
      <c r="AE310" s="327"/>
    </row>
    <row r="311" spans="31:31" ht="15" customHeight="1">
      <c r="AE311" s="327"/>
    </row>
    <row r="312" spans="31:31" ht="15" customHeight="1">
      <c r="AE312" s="327"/>
    </row>
    <row r="313" spans="31:31" ht="15" customHeight="1">
      <c r="AE313" s="327"/>
    </row>
    <row r="314" spans="31:31" ht="15" customHeight="1">
      <c r="AE314" s="327"/>
    </row>
    <row r="315" spans="31:31" ht="15" customHeight="1">
      <c r="AE315" s="327"/>
    </row>
    <row r="316" spans="31:31" ht="15" customHeight="1">
      <c r="AE316" s="327"/>
    </row>
    <row r="317" spans="31:31" ht="15" customHeight="1">
      <c r="AE317" s="327"/>
    </row>
    <row r="318" spans="31:31" ht="15" customHeight="1">
      <c r="AE318" s="327"/>
    </row>
    <row r="319" spans="31:31" ht="15" customHeight="1">
      <c r="AE319" s="327"/>
    </row>
    <row r="320" spans="31:31" ht="15" customHeight="1">
      <c r="AE320" s="327"/>
    </row>
    <row r="321" spans="31:31" ht="15" customHeight="1">
      <c r="AE321" s="327"/>
    </row>
    <row r="322" spans="31:31" ht="15" customHeight="1">
      <c r="AE322" s="327"/>
    </row>
    <row r="323" spans="31:31" ht="15" customHeight="1">
      <c r="AE323" s="327"/>
    </row>
    <row r="324" spans="31:31" ht="15" customHeight="1">
      <c r="AE324" s="327"/>
    </row>
    <row r="325" spans="31:31" ht="15" customHeight="1">
      <c r="AE325" s="327"/>
    </row>
    <row r="326" spans="31:31" ht="15" customHeight="1">
      <c r="AE326" s="327"/>
    </row>
    <row r="327" spans="31:31" ht="15" customHeight="1">
      <c r="AE327" s="327"/>
    </row>
    <row r="328" spans="31:31" ht="15" customHeight="1">
      <c r="AE328" s="327"/>
    </row>
    <row r="329" spans="31:31" ht="15" customHeight="1">
      <c r="AE329" s="327"/>
    </row>
    <row r="330" spans="31:31" ht="15" customHeight="1">
      <c r="AE330" s="327"/>
    </row>
    <row r="331" spans="31:31" ht="15" customHeight="1">
      <c r="AE331" s="327"/>
    </row>
    <row r="332" spans="31:31" ht="15" customHeight="1">
      <c r="AE332" s="327"/>
    </row>
    <row r="333" spans="31:31" ht="15" customHeight="1">
      <c r="AE333" s="327"/>
    </row>
    <row r="334" spans="31:31" ht="15" customHeight="1">
      <c r="AE334" s="327"/>
    </row>
    <row r="335" spans="31:31" ht="15" customHeight="1">
      <c r="AE335" s="327"/>
    </row>
    <row r="336" spans="31:31" ht="15" customHeight="1">
      <c r="AE336" s="327"/>
    </row>
    <row r="337" spans="31:31" ht="15" customHeight="1">
      <c r="AE337" s="327"/>
    </row>
    <row r="338" spans="31:31" ht="15" customHeight="1">
      <c r="AE338" s="327"/>
    </row>
    <row r="339" spans="31:31" ht="15" customHeight="1">
      <c r="AE339" s="327"/>
    </row>
    <row r="340" spans="31:31" ht="15" customHeight="1">
      <c r="AE340" s="327"/>
    </row>
    <row r="341" spans="31:31" ht="15" customHeight="1">
      <c r="AE341" s="327"/>
    </row>
    <row r="342" spans="31:31" ht="15" customHeight="1">
      <c r="AE342" s="327"/>
    </row>
    <row r="343" spans="31:31" ht="15" customHeight="1">
      <c r="AE343" s="327"/>
    </row>
    <row r="344" spans="31:31" ht="15" customHeight="1">
      <c r="AE344" s="327"/>
    </row>
    <row r="345" spans="31:31" ht="15" customHeight="1">
      <c r="AE345" s="327"/>
    </row>
    <row r="346" spans="31:31" ht="15" customHeight="1">
      <c r="AE346" s="327"/>
    </row>
    <row r="347" spans="31:31" ht="15" customHeight="1">
      <c r="AE347" s="327"/>
    </row>
    <row r="348" spans="31:31" ht="15" customHeight="1">
      <c r="AE348" s="327"/>
    </row>
    <row r="349" spans="31:31" ht="15" customHeight="1">
      <c r="AE349" s="327"/>
    </row>
    <row r="350" spans="31:31" ht="15" customHeight="1">
      <c r="AE350" s="327"/>
    </row>
    <row r="351" spans="31:31" ht="15" customHeight="1">
      <c r="AE351" s="327"/>
    </row>
    <row r="352" spans="31:31" ht="15" customHeight="1">
      <c r="AE352" s="327"/>
    </row>
    <row r="353" spans="31:31" ht="15" customHeight="1">
      <c r="AE353" s="327"/>
    </row>
    <row r="354" spans="31:31" ht="15" customHeight="1">
      <c r="AE354" s="327"/>
    </row>
    <row r="355" spans="31:31" ht="15" customHeight="1">
      <c r="AE355" s="327"/>
    </row>
    <row r="356" spans="31:31" ht="15" customHeight="1">
      <c r="AE356" s="327"/>
    </row>
    <row r="357" spans="31:31" ht="15" customHeight="1">
      <c r="AE357" s="327"/>
    </row>
    <row r="358" spans="31:31" ht="15" customHeight="1">
      <c r="AE358" s="327"/>
    </row>
    <row r="359" spans="31:31" ht="15" customHeight="1">
      <c r="AE359" s="327"/>
    </row>
    <row r="360" spans="31:31" ht="15" customHeight="1">
      <c r="AE360" s="327"/>
    </row>
    <row r="361" spans="31:31" ht="15" customHeight="1">
      <c r="AE361" s="327"/>
    </row>
    <row r="362" spans="31:31" ht="15" customHeight="1">
      <c r="AE362" s="327"/>
    </row>
    <row r="363" spans="31:31" ht="15" customHeight="1">
      <c r="AE363" s="327"/>
    </row>
    <row r="364" spans="31:31" ht="15" customHeight="1">
      <c r="AE364" s="327"/>
    </row>
    <row r="365" spans="31:31" ht="15" customHeight="1">
      <c r="AE365" s="327"/>
    </row>
    <row r="366" spans="31:31" ht="15" customHeight="1">
      <c r="AE366" s="327"/>
    </row>
    <row r="367" spans="31:31" ht="15" customHeight="1">
      <c r="AE367" s="327"/>
    </row>
    <row r="368" spans="31:31" ht="15" customHeight="1">
      <c r="AE368" s="327"/>
    </row>
    <row r="369" spans="31:31" ht="15" customHeight="1">
      <c r="AE369" s="327"/>
    </row>
    <row r="370" spans="31:31" ht="15" customHeight="1">
      <c r="AE370" s="327"/>
    </row>
    <row r="371" spans="31:31" ht="15" customHeight="1">
      <c r="AE371" s="327"/>
    </row>
    <row r="372" spans="31:31" ht="15" customHeight="1">
      <c r="AE372" s="327"/>
    </row>
    <row r="373" spans="31:31" ht="15" customHeight="1">
      <c r="AE373" s="327"/>
    </row>
    <row r="374" spans="31:31" ht="15" customHeight="1">
      <c r="AE374" s="327"/>
    </row>
    <row r="375" spans="31:31" ht="15" customHeight="1">
      <c r="AE375" s="327"/>
    </row>
    <row r="376" spans="31:31" ht="15" customHeight="1">
      <c r="AE376" s="327"/>
    </row>
    <row r="377" spans="31:31" ht="15" customHeight="1">
      <c r="AE377" s="327"/>
    </row>
    <row r="378" spans="31:31" ht="15" customHeight="1">
      <c r="AE378" s="327"/>
    </row>
    <row r="379" spans="31:31" ht="15" customHeight="1">
      <c r="AE379" s="327"/>
    </row>
    <row r="380" spans="31:31" ht="15" customHeight="1">
      <c r="AE380" s="327"/>
    </row>
    <row r="381" spans="31:31" ht="15" customHeight="1">
      <c r="AE381" s="327"/>
    </row>
    <row r="382" spans="31:31" ht="15" customHeight="1">
      <c r="AE382" s="327"/>
    </row>
    <row r="383" spans="31:31" ht="15" customHeight="1">
      <c r="AE383" s="327"/>
    </row>
    <row r="384" spans="31:31" ht="15" customHeight="1">
      <c r="AE384" s="327"/>
    </row>
    <row r="385" spans="31:31" ht="15" customHeight="1">
      <c r="AE385" s="327"/>
    </row>
    <row r="386" spans="31:31" ht="15" customHeight="1">
      <c r="AE386" s="327"/>
    </row>
    <row r="387" spans="31:31" ht="15" customHeight="1">
      <c r="AE387" s="327"/>
    </row>
    <row r="388" spans="31:31" ht="15" customHeight="1">
      <c r="AE388" s="327"/>
    </row>
    <row r="389" spans="31:31" ht="15" customHeight="1">
      <c r="AE389" s="327"/>
    </row>
    <row r="390" spans="31:31" ht="15" customHeight="1">
      <c r="AE390" s="327"/>
    </row>
    <row r="391" spans="31:31" ht="15" customHeight="1">
      <c r="AE391" s="327"/>
    </row>
    <row r="392" spans="31:31" ht="15" customHeight="1">
      <c r="AE392" s="327"/>
    </row>
    <row r="393" spans="31:31" ht="15" customHeight="1">
      <c r="AE393" s="327"/>
    </row>
    <row r="394" spans="31:31" ht="15" customHeight="1">
      <c r="AE394" s="327"/>
    </row>
    <row r="395" spans="31:31" ht="15" customHeight="1">
      <c r="AE395" s="327"/>
    </row>
    <row r="396" spans="31:31" ht="15" customHeight="1">
      <c r="AE396" s="327"/>
    </row>
    <row r="397" spans="31:31" ht="15" customHeight="1">
      <c r="AE397" s="327"/>
    </row>
    <row r="398" spans="31:31" ht="15" customHeight="1">
      <c r="AE398" s="327"/>
    </row>
    <row r="399" spans="31:31" ht="15" customHeight="1">
      <c r="AE399" s="327"/>
    </row>
    <row r="400" spans="31:31" ht="15" customHeight="1">
      <c r="AE400" s="327"/>
    </row>
    <row r="401" spans="31:31" ht="15" customHeight="1">
      <c r="AE401" s="327"/>
    </row>
    <row r="402" spans="31:31" ht="15" customHeight="1">
      <c r="AE402" s="327"/>
    </row>
    <row r="403" spans="31:31" ht="15" customHeight="1">
      <c r="AE403" s="327"/>
    </row>
    <row r="404" spans="31:31" ht="15" customHeight="1">
      <c r="AE404" s="327"/>
    </row>
    <row r="405" spans="31:31" ht="15" customHeight="1">
      <c r="AE405" s="327"/>
    </row>
    <row r="406" spans="31:31" ht="15" customHeight="1">
      <c r="AE406" s="327"/>
    </row>
    <row r="407" spans="31:31" ht="15" customHeight="1">
      <c r="AE407" s="327"/>
    </row>
    <row r="408" spans="31:31" ht="15" customHeight="1">
      <c r="AE408" s="327"/>
    </row>
    <row r="409" spans="31:31" ht="15" customHeight="1">
      <c r="AE409" s="327"/>
    </row>
    <row r="410" spans="31:31" ht="15" customHeight="1">
      <c r="AE410" s="327"/>
    </row>
    <row r="411" spans="31:31" ht="15" customHeight="1">
      <c r="AE411" s="327"/>
    </row>
    <row r="412" spans="31:31" ht="15" customHeight="1">
      <c r="AE412" s="327"/>
    </row>
    <row r="413" spans="31:31" ht="15" customHeight="1">
      <c r="AE413" s="327"/>
    </row>
    <row r="414" spans="31:31" ht="15" customHeight="1">
      <c r="AE414" s="327"/>
    </row>
    <row r="415" spans="31:31" ht="15" customHeight="1">
      <c r="AE415" s="327"/>
    </row>
    <row r="416" spans="31:31" ht="15" customHeight="1">
      <c r="AE416" s="327"/>
    </row>
    <row r="417" spans="31:31" ht="15" customHeight="1">
      <c r="AE417" s="327"/>
    </row>
    <row r="418" spans="31:31" ht="15" customHeight="1">
      <c r="AE418" s="327"/>
    </row>
    <row r="419" spans="31:31" ht="15" customHeight="1">
      <c r="AE419" s="327"/>
    </row>
    <row r="420" spans="31:31" ht="15" customHeight="1">
      <c r="AE420" s="327"/>
    </row>
    <row r="421" spans="31:31" ht="15" customHeight="1">
      <c r="AE421" s="327"/>
    </row>
    <row r="422" spans="31:31" ht="15" customHeight="1">
      <c r="AE422" s="327"/>
    </row>
    <row r="423" spans="31:31" ht="15" customHeight="1">
      <c r="AE423" s="327"/>
    </row>
    <row r="424" spans="31:31" ht="15" customHeight="1">
      <c r="AE424" s="327"/>
    </row>
    <row r="425" spans="31:31" ht="15" customHeight="1">
      <c r="AE425" s="327"/>
    </row>
    <row r="426" spans="31:31" ht="15" customHeight="1">
      <c r="AE426" s="327"/>
    </row>
    <row r="427" spans="31:31" ht="15" customHeight="1">
      <c r="AE427" s="327"/>
    </row>
    <row r="428" spans="31:31" ht="15" customHeight="1">
      <c r="AE428" s="327"/>
    </row>
    <row r="429" spans="31:31" ht="15" customHeight="1">
      <c r="AE429" s="327"/>
    </row>
    <row r="430" spans="31:31" ht="15" customHeight="1">
      <c r="AE430" s="327"/>
    </row>
    <row r="431" spans="31:31" ht="15" customHeight="1">
      <c r="AE431" s="327"/>
    </row>
    <row r="432" spans="31:31" ht="15" customHeight="1">
      <c r="AE432" s="327"/>
    </row>
    <row r="433" spans="31:31" ht="15" customHeight="1">
      <c r="AE433" s="327"/>
    </row>
    <row r="434" spans="31:31" ht="15" customHeight="1">
      <c r="AE434" s="327"/>
    </row>
    <row r="435" spans="31:31" ht="15" customHeight="1">
      <c r="AE435" s="327"/>
    </row>
    <row r="436" spans="31:31" ht="15" customHeight="1">
      <c r="AE436" s="327"/>
    </row>
    <row r="437" spans="31:31" ht="15" customHeight="1">
      <c r="AE437" s="327"/>
    </row>
    <row r="438" spans="31:31" ht="15" customHeight="1">
      <c r="AE438" s="327"/>
    </row>
    <row r="439" spans="31:31" ht="15" customHeight="1">
      <c r="AE439" s="327"/>
    </row>
    <row r="440" spans="31:31" ht="15" customHeight="1">
      <c r="AE440" s="327"/>
    </row>
    <row r="441" spans="31:31" ht="15" customHeight="1">
      <c r="AE441" s="327"/>
    </row>
    <row r="442" spans="31:31" ht="15" customHeight="1">
      <c r="AE442" s="327"/>
    </row>
    <row r="443" spans="31:31" ht="15" customHeight="1">
      <c r="AE443" s="327"/>
    </row>
    <row r="444" spans="31:31" ht="15" customHeight="1">
      <c r="AE444" s="327"/>
    </row>
    <row r="445" spans="31:31" ht="15" customHeight="1">
      <c r="AE445" s="327"/>
    </row>
    <row r="446" spans="31:31" ht="15" customHeight="1">
      <c r="AE446" s="327"/>
    </row>
    <row r="447" spans="31:31" ht="15" customHeight="1">
      <c r="AE447" s="327"/>
    </row>
    <row r="448" spans="31:31" ht="15" customHeight="1">
      <c r="AE448" s="327"/>
    </row>
    <row r="449" spans="31:31" ht="15" customHeight="1">
      <c r="AE449" s="327"/>
    </row>
    <row r="450" spans="31:31" ht="15" customHeight="1">
      <c r="AE450" s="327"/>
    </row>
    <row r="451" spans="31:31" ht="15" customHeight="1">
      <c r="AE451" s="327"/>
    </row>
    <row r="452" spans="31:31" ht="15" customHeight="1">
      <c r="AE452" s="327"/>
    </row>
    <row r="453" spans="31:31" ht="15" customHeight="1">
      <c r="AE453" s="327"/>
    </row>
    <row r="454" spans="31:31" ht="15" customHeight="1">
      <c r="AE454" s="327"/>
    </row>
    <row r="455" spans="31:31" ht="15" customHeight="1">
      <c r="AE455" s="327"/>
    </row>
    <row r="456" spans="31:31" ht="15" customHeight="1">
      <c r="AE456" s="327"/>
    </row>
    <row r="457" spans="31:31" ht="15" customHeight="1">
      <c r="AE457" s="327"/>
    </row>
    <row r="458" spans="31:31" ht="15" customHeight="1">
      <c r="AE458" s="327"/>
    </row>
    <row r="459" spans="31:31" ht="15" customHeight="1">
      <c r="AE459" s="327"/>
    </row>
    <row r="460" spans="31:31" ht="15" customHeight="1">
      <c r="AE460" s="327"/>
    </row>
    <row r="461" spans="31:31" ht="15" customHeight="1">
      <c r="AE461" s="327"/>
    </row>
    <row r="462" spans="31:31" ht="15" customHeight="1">
      <c r="AE462" s="327"/>
    </row>
    <row r="463" spans="31:31" ht="15" customHeight="1">
      <c r="AE463" s="327"/>
    </row>
    <row r="464" spans="31:31" ht="15" customHeight="1">
      <c r="AE464" s="327"/>
    </row>
    <row r="465" spans="31:31" ht="15" customHeight="1">
      <c r="AE465" s="327"/>
    </row>
    <row r="466" spans="31:31" ht="15" customHeight="1">
      <c r="AE466" s="327"/>
    </row>
    <row r="467" spans="31:31" ht="15" customHeight="1">
      <c r="AE467" s="327"/>
    </row>
    <row r="468" spans="31:31" ht="15" customHeight="1">
      <c r="AE468" s="327"/>
    </row>
    <row r="469" spans="31:31" ht="15" customHeight="1">
      <c r="AE469" s="327"/>
    </row>
    <row r="470" spans="31:31" ht="15" customHeight="1">
      <c r="AE470" s="327"/>
    </row>
    <row r="471" spans="31:31" ht="15" customHeight="1">
      <c r="AE471" s="327"/>
    </row>
    <row r="472" spans="31:31" ht="15" customHeight="1">
      <c r="AE472" s="327"/>
    </row>
    <row r="473" spans="31:31" ht="15" customHeight="1">
      <c r="AE473" s="327"/>
    </row>
    <row r="474" spans="31:31" ht="15" customHeight="1">
      <c r="AE474" s="327"/>
    </row>
    <row r="475" spans="31:31" ht="15" customHeight="1">
      <c r="AE475" s="327"/>
    </row>
    <row r="476" spans="31:31" ht="15" customHeight="1">
      <c r="AE476" s="327"/>
    </row>
    <row r="477" spans="31:31" ht="15" customHeight="1">
      <c r="AE477" s="327"/>
    </row>
    <row r="478" spans="31:31" ht="15" customHeight="1">
      <c r="AE478" s="327"/>
    </row>
    <row r="479" spans="31:31" ht="15" customHeight="1">
      <c r="AE479" s="327"/>
    </row>
    <row r="480" spans="31:31" ht="15" customHeight="1">
      <c r="AE480" s="327"/>
    </row>
    <row r="481" spans="31:31" ht="15" customHeight="1">
      <c r="AE481" s="327"/>
    </row>
    <row r="482" spans="31:31" ht="15" customHeight="1">
      <c r="AE482" s="327"/>
    </row>
    <row r="483" spans="31:31" ht="15" customHeight="1">
      <c r="AE483" s="327"/>
    </row>
    <row r="484" spans="31:31" ht="15" customHeight="1">
      <c r="AE484" s="327"/>
    </row>
    <row r="485" spans="31:31" ht="15" customHeight="1">
      <c r="AE485" s="327"/>
    </row>
    <row r="486" spans="31:31" ht="15" customHeight="1">
      <c r="AE486" s="327"/>
    </row>
    <row r="487" spans="31:31" ht="15" customHeight="1">
      <c r="AE487" s="327"/>
    </row>
    <row r="488" spans="31:31" ht="15" customHeight="1">
      <c r="AE488" s="327"/>
    </row>
    <row r="489" spans="31:31" ht="15" customHeight="1">
      <c r="AE489" s="327"/>
    </row>
    <row r="490" spans="31:31" ht="15" customHeight="1">
      <c r="AE490" s="327"/>
    </row>
    <row r="491" spans="31:31" ht="15" customHeight="1">
      <c r="AE491" s="327"/>
    </row>
    <row r="492" spans="31:31" ht="15" customHeight="1">
      <c r="AE492" s="327"/>
    </row>
  </sheetData>
  <mergeCells count="81">
    <mergeCell ref="A141:B141"/>
    <mergeCell ref="C141:G141"/>
    <mergeCell ref="A142:B142"/>
    <mergeCell ref="C142:G142"/>
    <mergeCell ref="A138:B138"/>
    <mergeCell ref="C138:G138"/>
    <mergeCell ref="A139:B139"/>
    <mergeCell ref="C139:G139"/>
    <mergeCell ref="A140:B140"/>
    <mergeCell ref="C140:G140"/>
    <mergeCell ref="A135:B135"/>
    <mergeCell ref="C135:G135"/>
    <mergeCell ref="A136:B136"/>
    <mergeCell ref="C136:G136"/>
    <mergeCell ref="A137:B137"/>
    <mergeCell ref="C137:G137"/>
    <mergeCell ref="A132:B132"/>
    <mergeCell ref="C132:G132"/>
    <mergeCell ref="A131:K131"/>
    <mergeCell ref="A134:B134"/>
    <mergeCell ref="C134:G134"/>
    <mergeCell ref="A133:B133"/>
    <mergeCell ref="C133:G133"/>
    <mergeCell ref="M128:N129"/>
    <mergeCell ref="O128:O129"/>
    <mergeCell ref="P128:P129"/>
    <mergeCell ref="M131:N131"/>
    <mergeCell ref="R128:R129"/>
    <mergeCell ref="M130:N130"/>
    <mergeCell ref="AA98:AA103"/>
    <mergeCell ref="E101:E103"/>
    <mergeCell ref="I101:I103"/>
    <mergeCell ref="I104:I106"/>
    <mergeCell ref="U126:V126"/>
    <mergeCell ref="V109:V110"/>
    <mergeCell ref="W109:W110"/>
    <mergeCell ref="X109:X110"/>
    <mergeCell ref="Y109:Y110"/>
    <mergeCell ref="Q109:Q110"/>
    <mergeCell ref="S109:S110"/>
    <mergeCell ref="T109:T110"/>
    <mergeCell ref="U109:U110"/>
    <mergeCell ref="R109:R110"/>
    <mergeCell ref="F117:F119"/>
    <mergeCell ref="M109:M110"/>
    <mergeCell ref="F98:F103"/>
    <mergeCell ref="G98:G103"/>
    <mergeCell ref="H98:H103"/>
    <mergeCell ref="I98:I100"/>
    <mergeCell ref="A1:C4"/>
    <mergeCell ref="A8:A97"/>
    <mergeCell ref="I93:I97"/>
    <mergeCell ref="A98:A103"/>
    <mergeCell ref="B98:B103"/>
    <mergeCell ref="C98:C103"/>
    <mergeCell ref="D98:D103"/>
    <mergeCell ref="E98:E100"/>
    <mergeCell ref="N109:N110"/>
    <mergeCell ref="O109:O110"/>
    <mergeCell ref="P109:P110"/>
    <mergeCell ref="L109:L110"/>
    <mergeCell ref="J2:Q2"/>
    <mergeCell ref="AE109:AE110"/>
    <mergeCell ref="Z109:Z110"/>
    <mergeCell ref="AA109:AA110"/>
    <mergeCell ref="AB109:AB110"/>
    <mergeCell ref="AC109:AC110"/>
    <mergeCell ref="AD109:AD110"/>
    <mergeCell ref="A115:A125"/>
    <mergeCell ref="I117:I119"/>
    <mergeCell ref="A104:A114"/>
    <mergeCell ref="B104:B108"/>
    <mergeCell ref="G109:G111"/>
    <mergeCell ref="B117:B119"/>
    <mergeCell ref="C117:C119"/>
    <mergeCell ref="D117:D119"/>
    <mergeCell ref="E117:E119"/>
    <mergeCell ref="F109:F111"/>
    <mergeCell ref="I109:I111"/>
    <mergeCell ref="G117:G119"/>
    <mergeCell ref="B109:B116"/>
  </mergeCells>
  <conditionalFormatting sqref="W8:Z81 W84:Z109">
    <cfRule type="containsText" dxfId="210" priority="17" operator="containsText" text="DAR DE BAJA">
      <formula>NOT(ISERROR(SEARCH("DAR DE BAJA",W8)))</formula>
    </cfRule>
    <cfRule type="containsText" dxfId="209" priority="18" operator="containsText" text="BAJO">
      <formula>NOT(ISERROR(SEARCH("BAJO",W8)))</formula>
    </cfRule>
    <cfRule type="containsText" dxfId="208" priority="19" operator="containsText" text="MEDIO">
      <formula>NOT(ISERROR(SEARCH("MEDIO",W8)))</formula>
    </cfRule>
    <cfRule type="containsText" dxfId="207" priority="20" operator="containsText" text="ALTO">
      <formula>NOT(ISERROR(SEARCH("ALTO",W8)))</formula>
    </cfRule>
  </conditionalFormatting>
  <conditionalFormatting sqref="W111:Z125">
    <cfRule type="containsText" dxfId="206" priority="13" operator="containsText" text="DAR DE BAJA">
      <formula>NOT(ISERROR(SEARCH("DAR DE BAJA",W111)))</formula>
    </cfRule>
    <cfRule type="containsText" dxfId="205" priority="14" operator="containsText" text="BAJO">
      <formula>NOT(ISERROR(SEARCH("BAJO",W111)))</formula>
    </cfRule>
    <cfRule type="containsText" dxfId="204" priority="15" operator="containsText" text="MEDIO">
      <formula>NOT(ISERROR(SEARCH("MEDIO",W111)))</formula>
    </cfRule>
    <cfRule type="containsText" dxfId="203" priority="16" operator="containsText" text="ALTO">
      <formula>NOT(ISERROR(SEARCH("ALTO",W111)))</formula>
    </cfRule>
  </conditionalFormatting>
  <conditionalFormatting sqref="W82:AA83">
    <cfRule type="containsText" dxfId="202" priority="9" operator="containsText" text="BAJO">
      <formula>NOT(ISERROR(SEARCH("BAJO",W82)))</formula>
    </cfRule>
    <cfRule type="containsText" dxfId="201" priority="10" operator="containsText" text="DAR DE BAJA">
      <formula>NOT(ISERROR(SEARCH("DAR DE BAJA",W82)))</formula>
    </cfRule>
    <cfRule type="containsText" dxfId="200" priority="11" operator="containsText" text="MEDIO">
      <formula>NOT(ISERROR(SEARCH("MEDIO",W82)))</formula>
    </cfRule>
    <cfRule type="containsText" dxfId="199" priority="12" operator="containsText" text="ALTO">
      <formula>NOT(ISERROR(SEARCH("ALTO",W82)))</formula>
    </cfRule>
  </conditionalFormatting>
  <conditionalFormatting sqref="Z82:AA83">
    <cfRule type="containsText" dxfId="198" priority="5" operator="containsText" text="DAR DE BAJA">
      <formula>NOT(ISERROR(SEARCH("DAR DE BAJA",Z82)))</formula>
    </cfRule>
    <cfRule type="containsText" dxfId="197" priority="6" operator="containsText" text="BAJO">
      <formula>NOT(ISERROR(SEARCH("BAJO",Z82)))</formula>
    </cfRule>
    <cfRule type="containsText" dxfId="196" priority="7" operator="containsText" text="MEDIO">
      <formula>NOT(ISERROR(SEARCH("MEDIO",Z82)))</formula>
    </cfRule>
    <cfRule type="containsText" dxfId="195" priority="8" operator="containsText" text="ALTO">
      <formula>NOT(ISERROR(SEARCH("ALTO",Z82)))</formula>
    </cfRule>
  </conditionalFormatting>
  <hyperlinks>
    <hyperlink ref="K135" r:id="rId1" xr:uid="{00000000-0004-0000-0000-000000000000}"/>
    <hyperlink ref="K140" r:id="rId2" xr:uid="{00000000-0004-0000-0000-000001000000}"/>
    <hyperlink ref="K136" r:id="rId3" xr:uid="{00000000-0004-0000-0000-000002000000}"/>
    <hyperlink ref="K138" r:id="rId4" xr:uid="{00000000-0004-0000-0000-000003000000}"/>
    <hyperlink ref="K141" r:id="rId5" location="session_timed_out" xr:uid="{00000000-0004-0000-0000-000004000000}"/>
    <hyperlink ref="K139" r:id="rId6" xr:uid="{8E814DB8-1580-4CB9-BECB-D92B3ABA4A20}"/>
    <hyperlink ref="K137" r:id="rId7" xr:uid="{6AA364C6-53FA-4816-9CB8-988FB7307394}"/>
  </hyperlinks>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92"/>
  <sheetViews>
    <sheetView topLeftCell="M1" zoomScale="55" zoomScaleNormal="55" workbookViewId="0">
      <pane ySplit="7" topLeftCell="A170" activePane="bottomLeft" state="frozen"/>
      <selection pane="bottomLeft" activeCell="A170" sqref="A170"/>
    </sheetView>
  </sheetViews>
  <sheetFormatPr defaultColWidth="11.42578125" defaultRowHeight="15" customHeight="1"/>
  <cols>
    <col min="1" max="1" width="9.42578125" customWidth="1"/>
    <col min="2" max="2" width="23.140625" style="1" customWidth="1"/>
    <col min="3" max="3" width="14.5703125" style="1" bestFit="1" customWidth="1"/>
    <col min="4" max="5" width="14.5703125" style="1" customWidth="1"/>
    <col min="6" max="6" width="12.5703125" style="1" customWidth="1"/>
    <col min="7" max="7" width="27.140625" style="1" customWidth="1"/>
    <col min="8" max="8" width="18.5703125" style="1" customWidth="1"/>
    <col min="9" max="9" width="20" style="31" customWidth="1"/>
    <col min="10" max="10" width="16.5703125" style="31" customWidth="1"/>
    <col min="11" max="11" width="40" style="325" customWidth="1"/>
    <col min="12" max="12" width="57.85546875" style="327" customWidth="1"/>
    <col min="13" max="13" width="18.42578125" style="325" customWidth="1"/>
    <col min="14" max="14" width="14.5703125" style="325" bestFit="1" customWidth="1"/>
    <col min="15" max="15" width="9.85546875" style="325" customWidth="1"/>
    <col min="16" max="16" width="8.42578125" style="325" customWidth="1"/>
    <col min="17" max="17" width="61.140625" style="325" customWidth="1"/>
    <col min="18" max="18" width="52.5703125" style="325" customWidth="1"/>
    <col min="19" max="19" width="10.5703125" style="314" customWidth="1"/>
    <col min="20" max="20" width="12.140625" style="326" customWidth="1"/>
    <col min="21" max="21" width="15" style="314" customWidth="1"/>
    <col min="22" max="22" width="19" style="326" customWidth="1"/>
    <col min="23" max="23" width="22.5703125" style="326" customWidth="1"/>
    <col min="24" max="24" width="12.42578125" style="314" customWidth="1"/>
    <col min="25" max="25" width="25.140625" style="314" customWidth="1"/>
    <col min="26" max="26" width="10.5703125" style="325" customWidth="1"/>
    <col min="27" max="27" width="25.5703125" style="325" customWidth="1"/>
    <col min="28" max="28" width="36.5703125" style="730" bestFit="1" customWidth="1"/>
    <col min="29" max="29" width="12.42578125" customWidth="1"/>
    <col min="30" max="30" width="28" style="109" customWidth="1"/>
    <col min="31" max="16383" width="9.140625"/>
    <col min="16384" max="16384" width="11.42578125" bestFit="1" customWidth="1"/>
  </cols>
  <sheetData>
    <row r="1" spans="1:30" ht="15.75">
      <c r="A1" s="18"/>
      <c r="B1" s="18"/>
      <c r="C1" s="18"/>
      <c r="D1" s="18"/>
      <c r="E1" s="18"/>
      <c r="F1" s="18"/>
      <c r="G1" s="33"/>
      <c r="H1" s="33"/>
      <c r="I1" s="35"/>
      <c r="J1" s="35"/>
      <c r="K1" s="340"/>
      <c r="L1" s="532"/>
      <c r="M1" s="340"/>
      <c r="N1" s="340"/>
      <c r="O1" s="340"/>
      <c r="P1" s="340"/>
      <c r="Q1" s="340"/>
      <c r="R1" s="340"/>
      <c r="S1" s="341"/>
      <c r="T1" s="342"/>
      <c r="U1" s="341"/>
      <c r="V1" s="342"/>
      <c r="W1" s="342"/>
      <c r="X1" s="341"/>
      <c r="Y1" s="341"/>
      <c r="Z1" s="340"/>
      <c r="AA1" s="340"/>
      <c r="AB1" s="712"/>
    </row>
    <row r="2" spans="1:30" ht="18.75" customHeight="1">
      <c r="A2" s="18"/>
      <c r="B2" s="18"/>
      <c r="C2" s="18"/>
      <c r="D2" s="18"/>
      <c r="E2" s="18"/>
      <c r="F2" s="18"/>
      <c r="G2" s="18"/>
      <c r="H2" s="18"/>
      <c r="I2" s="18"/>
      <c r="J2" s="1587" t="s">
        <v>0</v>
      </c>
      <c r="K2" s="1587"/>
      <c r="L2" s="1587"/>
      <c r="M2" s="1587"/>
      <c r="N2" s="1587"/>
      <c r="O2" s="1587"/>
      <c r="P2" s="1587"/>
      <c r="Q2" s="1587"/>
      <c r="R2" s="340"/>
      <c r="S2" s="340"/>
      <c r="T2" s="340"/>
      <c r="U2" s="340"/>
      <c r="V2" s="532"/>
      <c r="W2" s="532"/>
      <c r="X2" s="340"/>
      <c r="Y2" s="340"/>
      <c r="Z2" s="340"/>
      <c r="AA2" s="340"/>
      <c r="AB2" s="713"/>
    </row>
    <row r="3" spans="1:30" ht="18.75" customHeight="1">
      <c r="A3" s="33"/>
      <c r="B3" s="33"/>
      <c r="C3" s="33"/>
      <c r="D3" s="33"/>
      <c r="E3" s="33"/>
      <c r="F3" s="33"/>
      <c r="G3" s="33"/>
      <c r="H3" s="33"/>
      <c r="I3" s="33"/>
      <c r="J3" s="33"/>
      <c r="K3" s="341"/>
      <c r="L3" s="342"/>
      <c r="M3" s="341"/>
      <c r="N3" s="341"/>
      <c r="O3" s="341"/>
      <c r="P3" s="341"/>
      <c r="Q3" s="341"/>
      <c r="R3" s="341"/>
      <c r="S3" s="341"/>
      <c r="T3" s="341"/>
      <c r="U3" s="341"/>
      <c r="V3" s="342"/>
      <c r="W3" s="342"/>
      <c r="X3" s="341"/>
      <c r="Y3" s="341"/>
      <c r="Z3" s="341"/>
      <c r="AA3" s="341"/>
      <c r="AB3" s="712"/>
    </row>
    <row r="4" spans="1:30" ht="15.75">
      <c r="A4" s="18"/>
      <c r="B4" s="18"/>
      <c r="C4" s="18"/>
      <c r="D4" s="18"/>
      <c r="E4" s="18"/>
      <c r="F4" s="18"/>
      <c r="G4" s="33"/>
      <c r="H4" s="33"/>
      <c r="I4" s="35"/>
      <c r="J4" s="35"/>
      <c r="K4" s="340"/>
      <c r="L4" s="532"/>
      <c r="M4" s="340"/>
      <c r="N4" s="340"/>
      <c r="O4" s="340"/>
      <c r="P4" s="340"/>
      <c r="Q4" s="340"/>
      <c r="R4" s="340"/>
      <c r="S4" s="341"/>
      <c r="T4" s="342"/>
      <c r="U4" s="341"/>
      <c r="V4" s="342"/>
      <c r="W4" s="342"/>
      <c r="X4" s="341"/>
      <c r="Y4" s="341"/>
      <c r="Z4" s="340"/>
      <c r="AA4" s="340"/>
      <c r="AB4" s="712"/>
    </row>
    <row r="5" spans="1:30" ht="15.75">
      <c r="A5" s="26" t="s">
        <v>605</v>
      </c>
      <c r="B5" s="34"/>
      <c r="C5" s="34"/>
      <c r="D5" s="34"/>
      <c r="E5" s="34"/>
      <c r="F5" s="33"/>
      <c r="G5" s="33"/>
      <c r="H5" s="34" t="s">
        <v>2</v>
      </c>
      <c r="I5" s="36"/>
      <c r="J5" s="36"/>
      <c r="K5" s="306"/>
      <c r="L5" s="532"/>
      <c r="M5" s="340"/>
      <c r="N5" s="340"/>
      <c r="O5" s="340"/>
      <c r="P5" s="340"/>
      <c r="Q5" s="340"/>
      <c r="R5" s="340"/>
      <c r="S5" s="341"/>
      <c r="T5" s="342"/>
      <c r="U5" s="341"/>
      <c r="V5" s="342"/>
      <c r="W5" s="342"/>
      <c r="X5" s="341"/>
      <c r="Y5" s="341"/>
      <c r="Z5" s="340"/>
      <c r="AA5" s="340"/>
      <c r="AB5" s="712"/>
    </row>
    <row r="7" spans="1:30" s="198" customFormat="1" ht="44.25" customHeight="1">
      <c r="A7" s="301" t="s">
        <v>3</v>
      </c>
      <c r="B7" s="302" t="s">
        <v>4</v>
      </c>
      <c r="C7" s="302" t="s">
        <v>5</v>
      </c>
      <c r="D7" s="302" t="s">
        <v>6</v>
      </c>
      <c r="E7" s="302" t="s">
        <v>7</v>
      </c>
      <c r="F7" s="302" t="s">
        <v>8</v>
      </c>
      <c r="G7" s="302" t="s">
        <v>9</v>
      </c>
      <c r="H7" s="302" t="s">
        <v>10</v>
      </c>
      <c r="I7" s="302" t="s">
        <v>11</v>
      </c>
      <c r="J7" s="302" t="s">
        <v>12</v>
      </c>
      <c r="K7" s="307" t="s">
        <v>13</v>
      </c>
      <c r="L7" s="307" t="s">
        <v>14</v>
      </c>
      <c r="M7" s="307" t="s">
        <v>15</v>
      </c>
      <c r="N7" s="307" t="s">
        <v>16</v>
      </c>
      <c r="O7" s="674" t="s">
        <v>17</v>
      </c>
      <c r="P7" s="674" t="s">
        <v>18</v>
      </c>
      <c r="Q7" s="307" t="s">
        <v>19</v>
      </c>
      <c r="R7" s="307" t="s">
        <v>21</v>
      </c>
      <c r="S7" s="308" t="s">
        <v>22</v>
      </c>
      <c r="T7" s="308" t="s">
        <v>23</v>
      </c>
      <c r="U7" s="308" t="s">
        <v>24</v>
      </c>
      <c r="V7" s="308" t="s">
        <v>25</v>
      </c>
      <c r="W7" s="539" t="s">
        <v>26</v>
      </c>
      <c r="X7" s="309" t="s">
        <v>27</v>
      </c>
      <c r="Y7" s="309" t="s">
        <v>28</v>
      </c>
      <c r="Z7" s="307" t="s">
        <v>29</v>
      </c>
      <c r="AA7" s="535" t="s">
        <v>30</v>
      </c>
      <c r="AB7" s="308" t="s">
        <v>31</v>
      </c>
      <c r="AC7" s="300" t="s">
        <v>32</v>
      </c>
      <c r="AD7" s="300" t="s">
        <v>33</v>
      </c>
    </row>
    <row r="8" spans="1:30" s="109" customFormat="1" ht="48.6" customHeight="1">
      <c r="A8" s="272" t="s">
        <v>606</v>
      </c>
      <c r="B8" s="343" t="s">
        <v>35</v>
      </c>
      <c r="C8" s="273" t="s">
        <v>36</v>
      </c>
      <c r="D8" s="270" t="s">
        <v>37</v>
      </c>
      <c r="E8" s="271" t="s">
        <v>607</v>
      </c>
      <c r="F8" s="405">
        <v>4</v>
      </c>
      <c r="G8" s="271" t="s">
        <v>39</v>
      </c>
      <c r="H8" s="37" t="s">
        <v>40</v>
      </c>
      <c r="I8" s="1240">
        <f>COUNTIF(J8:J106,"=VIRTUAL")</f>
        <v>99</v>
      </c>
      <c r="J8" s="267" t="s">
        <v>41</v>
      </c>
      <c r="K8" s="697" t="s">
        <v>42</v>
      </c>
      <c r="L8" s="359" t="s">
        <v>43</v>
      </c>
      <c r="M8" s="711" t="s">
        <v>608</v>
      </c>
      <c r="N8" s="318" t="s">
        <v>45</v>
      </c>
      <c r="O8" s="321" t="s">
        <v>46</v>
      </c>
      <c r="P8" s="321" t="s">
        <v>46</v>
      </c>
      <c r="Q8" s="504" t="s">
        <v>47</v>
      </c>
      <c r="R8" s="359" t="s">
        <v>49</v>
      </c>
      <c r="S8" s="352">
        <v>8</v>
      </c>
      <c r="T8" s="352">
        <v>150</v>
      </c>
      <c r="U8" s="352">
        <v>8</v>
      </c>
      <c r="V8" s="361" t="s">
        <v>50</v>
      </c>
      <c r="W8" s="320" t="s">
        <v>51</v>
      </c>
      <c r="X8" s="464" t="s">
        <v>52</v>
      </c>
      <c r="Y8" s="320" t="s">
        <v>52</v>
      </c>
      <c r="Z8" s="625"/>
      <c r="AA8" s="340"/>
      <c r="AB8" s="715" t="s">
        <v>40</v>
      </c>
      <c r="AC8" s="109" t="s">
        <v>53</v>
      </c>
      <c r="AD8" s="765" t="s">
        <v>54</v>
      </c>
    </row>
    <row r="9" spans="1:30" ht="48" customHeight="1">
      <c r="A9" s="272" t="s">
        <v>606</v>
      </c>
      <c r="B9" s="343" t="s">
        <v>55</v>
      </c>
      <c r="C9" s="273" t="s">
        <v>56</v>
      </c>
      <c r="D9" s="270" t="s">
        <v>57</v>
      </c>
      <c r="E9" s="271" t="s">
        <v>58</v>
      </c>
      <c r="F9" s="405"/>
      <c r="G9" s="271" t="s">
        <v>39</v>
      </c>
      <c r="H9" s="72" t="s">
        <v>40</v>
      </c>
      <c r="I9" s="1240"/>
      <c r="J9" s="267" t="s">
        <v>41</v>
      </c>
      <c r="K9" s="364" t="s">
        <v>59</v>
      </c>
      <c r="L9" s="359" t="s">
        <v>60</v>
      </c>
      <c r="M9" s="345" t="s">
        <v>61</v>
      </c>
      <c r="N9" s="315" t="s">
        <v>62</v>
      </c>
      <c r="O9" s="321" t="s">
        <v>46</v>
      </c>
      <c r="P9" s="321" t="s">
        <v>46</v>
      </c>
      <c r="Q9" s="504" t="s">
        <v>63</v>
      </c>
      <c r="R9" s="345" t="s">
        <v>64</v>
      </c>
      <c r="S9" s="346">
        <v>92</v>
      </c>
      <c r="T9" s="350">
        <v>209.96</v>
      </c>
      <c r="U9" s="350">
        <v>8</v>
      </c>
      <c r="V9" s="361" t="s">
        <v>65</v>
      </c>
      <c r="W9" s="320" t="s">
        <v>51</v>
      </c>
      <c r="X9" s="463" t="s">
        <v>52</v>
      </c>
      <c r="Y9" s="313" t="s">
        <v>52</v>
      </c>
      <c r="Z9" s="625"/>
      <c r="AA9" s="340"/>
      <c r="AB9" s="714" t="s">
        <v>66</v>
      </c>
      <c r="AC9" t="s">
        <v>46</v>
      </c>
    </row>
    <row r="10" spans="1:30" ht="31.35" customHeight="1">
      <c r="A10" s="272" t="s">
        <v>606</v>
      </c>
      <c r="B10" s="343" t="s">
        <v>67</v>
      </c>
      <c r="C10" s="273" t="s">
        <v>68</v>
      </c>
      <c r="D10" s="270" t="s">
        <v>69</v>
      </c>
      <c r="E10" s="271" t="s">
        <v>70</v>
      </c>
      <c r="F10" s="405"/>
      <c r="G10" s="271" t="s">
        <v>71</v>
      </c>
      <c r="H10" s="72" t="s">
        <v>40</v>
      </c>
      <c r="I10" s="1240"/>
      <c r="J10" s="267" t="s">
        <v>41</v>
      </c>
      <c r="K10" s="322" t="s">
        <v>72</v>
      </c>
      <c r="L10" s="359" t="s">
        <v>60</v>
      </c>
      <c r="M10" s="345" t="s">
        <v>73</v>
      </c>
      <c r="N10" s="315" t="s">
        <v>62</v>
      </c>
      <c r="O10" s="321" t="s">
        <v>46</v>
      </c>
      <c r="P10" s="321" t="s">
        <v>46</v>
      </c>
      <c r="Q10" s="504" t="s">
        <v>63</v>
      </c>
      <c r="R10" s="345" t="s">
        <v>64</v>
      </c>
      <c r="S10" s="346">
        <v>92</v>
      </c>
      <c r="T10" s="350">
        <v>209.96</v>
      </c>
      <c r="U10" s="350">
        <v>8</v>
      </c>
      <c r="V10" s="361" t="s">
        <v>65</v>
      </c>
      <c r="W10" s="320" t="s">
        <v>51</v>
      </c>
      <c r="X10" s="463" t="s">
        <v>52</v>
      </c>
      <c r="Y10" s="313" t="s">
        <v>52</v>
      </c>
      <c r="Z10" s="625"/>
      <c r="AA10" s="340"/>
      <c r="AB10" s="714" t="s">
        <v>66</v>
      </c>
      <c r="AC10" t="s">
        <v>46</v>
      </c>
    </row>
    <row r="11" spans="1:30" ht="31.35" customHeight="1">
      <c r="A11" s="343" t="s">
        <v>606</v>
      </c>
      <c r="B11" s="343" t="s">
        <v>74</v>
      </c>
      <c r="C11" s="444" t="s">
        <v>68</v>
      </c>
      <c r="D11" s="445" t="s">
        <v>75</v>
      </c>
      <c r="E11" s="405" t="s">
        <v>76</v>
      </c>
      <c r="F11" s="405"/>
      <c r="G11" s="405" t="s">
        <v>71</v>
      </c>
      <c r="H11" s="446" t="s">
        <v>40</v>
      </c>
      <c r="I11" s="1240"/>
      <c r="J11" s="267" t="s">
        <v>41</v>
      </c>
      <c r="K11" s="322" t="s">
        <v>77</v>
      </c>
      <c r="L11" s="359" t="s">
        <v>60</v>
      </c>
      <c r="M11" s="345" t="s">
        <v>78</v>
      </c>
      <c r="N11" s="315" t="s">
        <v>62</v>
      </c>
      <c r="O11" s="321" t="s">
        <v>46</v>
      </c>
      <c r="P11" s="321" t="s">
        <v>46</v>
      </c>
      <c r="Q11" s="504" t="s">
        <v>63</v>
      </c>
      <c r="R11" s="345" t="s">
        <v>64</v>
      </c>
      <c r="S11" s="346">
        <v>92</v>
      </c>
      <c r="T11" s="350">
        <v>209.96</v>
      </c>
      <c r="U11" s="350">
        <v>8</v>
      </c>
      <c r="V11" s="361" t="s">
        <v>65</v>
      </c>
      <c r="W11" s="320" t="s">
        <v>51</v>
      </c>
      <c r="X11" s="463" t="s">
        <v>52</v>
      </c>
      <c r="Y11" s="313" t="s">
        <v>52</v>
      </c>
      <c r="Z11" s="625"/>
      <c r="AA11" s="340"/>
      <c r="AB11" s="714" t="s">
        <v>66</v>
      </c>
      <c r="AC11" t="s">
        <v>46</v>
      </c>
    </row>
    <row r="12" spans="1:30" ht="31.35" customHeight="1">
      <c r="B12" s="128"/>
      <c r="F12" s="128"/>
      <c r="I12" s="1240"/>
      <c r="J12" s="267" t="s">
        <v>41</v>
      </c>
      <c r="K12" s="322" t="s">
        <v>79</v>
      </c>
      <c r="L12" s="359" t="s">
        <v>60</v>
      </c>
      <c r="M12" s="345" t="s">
        <v>80</v>
      </c>
      <c r="N12" s="315" t="s">
        <v>62</v>
      </c>
      <c r="O12" s="321" t="s">
        <v>46</v>
      </c>
      <c r="P12" s="321" t="s">
        <v>46</v>
      </c>
      <c r="Q12" s="504" t="s">
        <v>63</v>
      </c>
      <c r="R12" s="345" t="s">
        <v>64</v>
      </c>
      <c r="S12" s="346">
        <v>92</v>
      </c>
      <c r="T12" s="350">
        <v>209.96</v>
      </c>
      <c r="U12" s="350">
        <v>8</v>
      </c>
      <c r="V12" s="361" t="s">
        <v>65</v>
      </c>
      <c r="W12" s="320" t="s">
        <v>51</v>
      </c>
      <c r="X12" s="463" t="s">
        <v>52</v>
      </c>
      <c r="Y12" s="313" t="s">
        <v>52</v>
      </c>
      <c r="Z12" s="625"/>
      <c r="AA12" s="340"/>
      <c r="AB12" s="714" t="s">
        <v>66</v>
      </c>
      <c r="AC12" t="s">
        <v>46</v>
      </c>
    </row>
    <row r="13" spans="1:30" ht="15.6" customHeight="1">
      <c r="A13" s="73" t="s">
        <v>62</v>
      </c>
      <c r="B13" s="33" t="s">
        <v>62</v>
      </c>
      <c r="C13" s="33" t="s">
        <v>62</v>
      </c>
      <c r="D13" s="33"/>
      <c r="E13" s="33"/>
      <c r="F13" s="33" t="s">
        <v>62</v>
      </c>
      <c r="G13" s="33" t="s">
        <v>62</v>
      </c>
      <c r="H13" s="33" t="s">
        <v>62</v>
      </c>
      <c r="I13" s="1240"/>
      <c r="J13" s="267" t="s">
        <v>41</v>
      </c>
      <c r="K13" s="351" t="s">
        <v>609</v>
      </c>
      <c r="L13" s="359" t="s">
        <v>610</v>
      </c>
      <c r="M13" s="345" t="s">
        <v>611</v>
      </c>
      <c r="N13" s="344" t="s">
        <v>62</v>
      </c>
      <c r="O13" s="352" t="s">
        <v>46</v>
      </c>
      <c r="P13" s="352" t="s">
        <v>40</v>
      </c>
      <c r="Q13" s="831" t="s">
        <v>612</v>
      </c>
      <c r="R13" s="345" t="s">
        <v>613</v>
      </c>
      <c r="S13" s="346">
        <v>48</v>
      </c>
      <c r="T13" s="350">
        <v>800</v>
      </c>
      <c r="U13" s="350">
        <v>32</v>
      </c>
      <c r="V13" s="361" t="s">
        <v>50</v>
      </c>
      <c r="W13" s="320" t="s">
        <v>51</v>
      </c>
      <c r="X13" s="463" t="s">
        <v>52</v>
      </c>
      <c r="Y13" s="313" t="s">
        <v>52</v>
      </c>
      <c r="Z13" s="625"/>
      <c r="AA13" s="340"/>
      <c r="AB13" s="714" t="s">
        <v>40</v>
      </c>
      <c r="AC13" t="s">
        <v>53</v>
      </c>
      <c r="AD13" s="109" t="s">
        <v>614</v>
      </c>
    </row>
    <row r="14" spans="1:30" ht="15.6" customHeight="1">
      <c r="A14" s="73" t="s">
        <v>62</v>
      </c>
      <c r="B14" s="33" t="s">
        <v>62</v>
      </c>
      <c r="C14" s="33" t="s">
        <v>62</v>
      </c>
      <c r="D14" s="33"/>
      <c r="E14" s="33"/>
      <c r="F14" s="33" t="s">
        <v>62</v>
      </c>
      <c r="G14" s="33" t="s">
        <v>62</v>
      </c>
      <c r="H14" s="33" t="s">
        <v>62</v>
      </c>
      <c r="I14" s="1240"/>
      <c r="J14" s="267" t="s">
        <v>41</v>
      </c>
      <c r="K14" s="344" t="s">
        <v>615</v>
      </c>
      <c r="L14" s="358" t="s">
        <v>616</v>
      </c>
      <c r="M14" s="345" t="s">
        <v>617</v>
      </c>
      <c r="N14" s="344" t="s">
        <v>62</v>
      </c>
      <c r="O14" s="352" t="s">
        <v>46</v>
      </c>
      <c r="P14" s="352" t="s">
        <v>40</v>
      </c>
      <c r="Q14" s="831" t="s">
        <v>612</v>
      </c>
      <c r="R14" s="344" t="s">
        <v>613</v>
      </c>
      <c r="S14" s="346">
        <v>32</v>
      </c>
      <c r="T14" s="350">
        <v>500</v>
      </c>
      <c r="U14" s="350">
        <v>8</v>
      </c>
      <c r="V14" s="361" t="s">
        <v>50</v>
      </c>
      <c r="W14" s="320" t="s">
        <v>51</v>
      </c>
      <c r="X14" s="463" t="s">
        <v>52</v>
      </c>
      <c r="Y14" s="313" t="s">
        <v>52</v>
      </c>
      <c r="Z14" s="625"/>
      <c r="AA14" s="340"/>
      <c r="AB14" s="714" t="s">
        <v>40</v>
      </c>
      <c r="AC14" t="s">
        <v>53</v>
      </c>
      <c r="AD14" s="109" t="s">
        <v>614</v>
      </c>
    </row>
    <row r="15" spans="1:30" ht="15.6" customHeight="1">
      <c r="A15" s="73" t="s">
        <v>62</v>
      </c>
      <c r="B15" s="33" t="s">
        <v>62</v>
      </c>
      <c r="C15" s="33" t="s">
        <v>62</v>
      </c>
      <c r="D15" s="33"/>
      <c r="E15" s="33"/>
      <c r="F15" s="33" t="s">
        <v>62</v>
      </c>
      <c r="G15" s="33" t="s">
        <v>62</v>
      </c>
      <c r="H15" s="33" t="s">
        <v>62</v>
      </c>
      <c r="I15" s="1240"/>
      <c r="J15" s="267" t="s">
        <v>41</v>
      </c>
      <c r="K15" s="351" t="s">
        <v>618</v>
      </c>
      <c r="L15" s="359" t="s">
        <v>619</v>
      </c>
      <c r="M15" s="345" t="s">
        <v>620</v>
      </c>
      <c r="N15" s="344" t="s">
        <v>62</v>
      </c>
      <c r="O15" s="352" t="s">
        <v>46</v>
      </c>
      <c r="P15" s="352" t="s">
        <v>40</v>
      </c>
      <c r="Q15" s="831" t="s">
        <v>612</v>
      </c>
      <c r="R15" s="345" t="s">
        <v>613</v>
      </c>
      <c r="S15" s="346">
        <v>48</v>
      </c>
      <c r="T15" s="350">
        <v>3430</v>
      </c>
      <c r="U15" s="350">
        <v>32</v>
      </c>
      <c r="V15" s="361" t="s">
        <v>50</v>
      </c>
      <c r="W15" s="320" t="s">
        <v>51</v>
      </c>
      <c r="X15" s="463" t="s">
        <v>52</v>
      </c>
      <c r="Y15" s="313" t="s">
        <v>52</v>
      </c>
      <c r="Z15" s="625"/>
      <c r="AA15" s="340"/>
      <c r="AB15" s="714" t="s">
        <v>40</v>
      </c>
      <c r="AC15" t="s">
        <v>53</v>
      </c>
      <c r="AD15" s="109" t="s">
        <v>614</v>
      </c>
    </row>
    <row r="16" spans="1:30" ht="15.6" customHeight="1">
      <c r="A16" s="73" t="s">
        <v>62</v>
      </c>
      <c r="B16" s="33" t="s">
        <v>62</v>
      </c>
      <c r="C16" s="33" t="s">
        <v>62</v>
      </c>
      <c r="D16" s="33"/>
      <c r="E16" s="33"/>
      <c r="F16" s="33" t="s">
        <v>62</v>
      </c>
      <c r="G16" s="33" t="s">
        <v>62</v>
      </c>
      <c r="H16" s="33" t="s">
        <v>62</v>
      </c>
      <c r="I16" s="1240"/>
      <c r="J16" s="267" t="s">
        <v>41</v>
      </c>
      <c r="K16" s="351" t="s">
        <v>621</v>
      </c>
      <c r="L16" s="359" t="s">
        <v>622</v>
      </c>
      <c r="M16" s="345" t="s">
        <v>623</v>
      </c>
      <c r="N16" s="344" t="s">
        <v>62</v>
      </c>
      <c r="O16" s="352" t="s">
        <v>46</v>
      </c>
      <c r="P16" s="352" t="s">
        <v>40</v>
      </c>
      <c r="Q16" s="831" t="s">
        <v>612</v>
      </c>
      <c r="R16" s="345" t="s">
        <v>613</v>
      </c>
      <c r="S16" s="346">
        <v>32</v>
      </c>
      <c r="T16" s="350">
        <v>600</v>
      </c>
      <c r="U16" s="350">
        <v>16</v>
      </c>
      <c r="V16" s="361" t="s">
        <v>50</v>
      </c>
      <c r="W16" s="320" t="s">
        <v>51</v>
      </c>
      <c r="X16" s="463" t="s">
        <v>52</v>
      </c>
      <c r="Y16" s="313" t="s">
        <v>52</v>
      </c>
      <c r="Z16" s="625"/>
      <c r="AA16" s="340"/>
      <c r="AB16" s="714" t="s">
        <v>40</v>
      </c>
      <c r="AC16" t="s">
        <v>53</v>
      </c>
      <c r="AD16" s="109" t="s">
        <v>614</v>
      </c>
    </row>
    <row r="17" spans="1:30" ht="15.6" customHeight="1">
      <c r="A17" s="73" t="s">
        <v>62</v>
      </c>
      <c r="B17" s="33" t="s">
        <v>62</v>
      </c>
      <c r="C17" s="33" t="s">
        <v>62</v>
      </c>
      <c r="D17" s="33"/>
      <c r="E17" s="33"/>
      <c r="F17" s="33" t="s">
        <v>62</v>
      </c>
      <c r="G17" s="33" t="s">
        <v>62</v>
      </c>
      <c r="H17" s="33" t="s">
        <v>62</v>
      </c>
      <c r="I17" s="1240"/>
      <c r="J17" s="267" t="s">
        <v>41</v>
      </c>
      <c r="K17" s="351" t="s">
        <v>624</v>
      </c>
      <c r="L17" s="359" t="s">
        <v>625</v>
      </c>
      <c r="M17" s="345" t="s">
        <v>626</v>
      </c>
      <c r="N17" s="315" t="s">
        <v>62</v>
      </c>
      <c r="O17" s="352" t="s">
        <v>46</v>
      </c>
      <c r="P17" s="352" t="s">
        <v>40</v>
      </c>
      <c r="Q17" s="831" t="s">
        <v>612</v>
      </c>
      <c r="R17" s="345" t="s">
        <v>613</v>
      </c>
      <c r="S17" s="346">
        <v>32</v>
      </c>
      <c r="T17" s="350">
        <v>300</v>
      </c>
      <c r="U17" s="350">
        <v>16</v>
      </c>
      <c r="V17" s="361" t="s">
        <v>50</v>
      </c>
      <c r="W17" s="320" t="s">
        <v>51</v>
      </c>
      <c r="X17" s="463" t="s">
        <v>52</v>
      </c>
      <c r="Y17" s="313" t="s">
        <v>52</v>
      </c>
      <c r="Z17" s="625"/>
      <c r="AA17" s="340"/>
      <c r="AB17" s="714" t="s">
        <v>40</v>
      </c>
      <c r="AC17" t="s">
        <v>53</v>
      </c>
      <c r="AD17" s="109" t="s">
        <v>614</v>
      </c>
    </row>
    <row r="18" spans="1:30" ht="15.6" customHeight="1">
      <c r="A18" s="73" t="s">
        <v>62</v>
      </c>
      <c r="B18" s="33" t="s">
        <v>62</v>
      </c>
      <c r="C18" s="33" t="s">
        <v>62</v>
      </c>
      <c r="D18" s="33"/>
      <c r="E18" s="33"/>
      <c r="F18" s="33" t="s">
        <v>62</v>
      </c>
      <c r="G18" s="33" t="s">
        <v>62</v>
      </c>
      <c r="H18" s="33" t="s">
        <v>62</v>
      </c>
      <c r="I18" s="1240"/>
      <c r="J18" s="267" t="s">
        <v>41</v>
      </c>
      <c r="K18" s="351" t="s">
        <v>627</v>
      </c>
      <c r="L18" s="359" t="s">
        <v>628</v>
      </c>
      <c r="M18" s="345" t="s">
        <v>629</v>
      </c>
      <c r="N18" s="315" t="s">
        <v>62</v>
      </c>
      <c r="O18" s="352" t="s">
        <v>46</v>
      </c>
      <c r="P18" s="352" t="s">
        <v>40</v>
      </c>
      <c r="Q18" s="831" t="s">
        <v>612</v>
      </c>
      <c r="R18" s="345" t="s">
        <v>613</v>
      </c>
      <c r="S18" s="346">
        <v>28</v>
      </c>
      <c r="T18" s="350">
        <v>500</v>
      </c>
      <c r="U18" s="350">
        <v>16</v>
      </c>
      <c r="V18" s="361" t="s">
        <v>50</v>
      </c>
      <c r="W18" s="320" t="s">
        <v>51</v>
      </c>
      <c r="X18" s="463" t="s">
        <v>52</v>
      </c>
      <c r="Y18" s="313" t="s">
        <v>52</v>
      </c>
      <c r="Z18" s="625"/>
      <c r="AA18" s="340"/>
      <c r="AB18" s="714" t="s">
        <v>40</v>
      </c>
      <c r="AC18" t="s">
        <v>53</v>
      </c>
      <c r="AD18" s="109" t="s">
        <v>614</v>
      </c>
    </row>
    <row r="19" spans="1:30" s="447" customFormat="1" ht="15.6" customHeight="1">
      <c r="A19" s="448" t="s">
        <v>62</v>
      </c>
      <c r="B19" s="449" t="s">
        <v>62</v>
      </c>
      <c r="C19" s="449" t="s">
        <v>62</v>
      </c>
      <c r="D19" s="449"/>
      <c r="E19" s="449"/>
      <c r="F19" s="449" t="s">
        <v>62</v>
      </c>
      <c r="G19" s="449" t="s">
        <v>62</v>
      </c>
      <c r="H19" s="449" t="s">
        <v>62</v>
      </c>
      <c r="I19" s="1240"/>
      <c r="J19" s="450" t="s">
        <v>41</v>
      </c>
      <c r="K19" s="451" t="s">
        <v>630</v>
      </c>
      <c r="L19" s="588" t="s">
        <v>631</v>
      </c>
      <c r="M19" s="452" t="s">
        <v>632</v>
      </c>
      <c r="N19" s="453" t="s">
        <v>62</v>
      </c>
      <c r="O19" s="453"/>
      <c r="P19" s="453"/>
      <c r="Q19" s="454" t="s">
        <v>235</v>
      </c>
      <c r="R19" s="452" t="s">
        <v>180</v>
      </c>
      <c r="S19" s="455">
        <v>8</v>
      </c>
      <c r="T19" s="456">
        <v>500</v>
      </c>
      <c r="U19" s="456">
        <v>4</v>
      </c>
      <c r="V19" s="540" t="s">
        <v>86</v>
      </c>
      <c r="W19" s="541" t="s">
        <v>633</v>
      </c>
      <c r="X19" s="538" t="s">
        <v>181</v>
      </c>
      <c r="Y19" s="457" t="s">
        <v>634</v>
      </c>
      <c r="Z19" s="625"/>
      <c r="AA19" s="340"/>
      <c r="AB19" s="716" t="s">
        <v>635</v>
      </c>
      <c r="AD19" s="761"/>
    </row>
    <row r="20" spans="1:30" s="447" customFormat="1" ht="15.6" customHeight="1">
      <c r="A20" s="448" t="s">
        <v>62</v>
      </c>
      <c r="B20" s="449" t="s">
        <v>62</v>
      </c>
      <c r="C20" s="449" t="s">
        <v>62</v>
      </c>
      <c r="D20" s="449"/>
      <c r="E20" s="449"/>
      <c r="F20" s="449" t="s">
        <v>62</v>
      </c>
      <c r="G20" s="449" t="s">
        <v>62</v>
      </c>
      <c r="H20" s="449" t="s">
        <v>62</v>
      </c>
      <c r="I20" s="1240"/>
      <c r="J20" s="450" t="s">
        <v>41</v>
      </c>
      <c r="K20" s="451" t="s">
        <v>636</v>
      </c>
      <c r="L20" s="588" t="s">
        <v>637</v>
      </c>
      <c r="M20" s="452" t="s">
        <v>638</v>
      </c>
      <c r="N20" s="453" t="s">
        <v>62</v>
      </c>
      <c r="O20" s="453"/>
      <c r="P20" s="453"/>
      <c r="Q20" s="454" t="s">
        <v>235</v>
      </c>
      <c r="R20" s="452" t="s">
        <v>180</v>
      </c>
      <c r="S20" s="455">
        <v>8</v>
      </c>
      <c r="T20" s="456">
        <v>500</v>
      </c>
      <c r="U20" s="456">
        <v>4</v>
      </c>
      <c r="V20" s="540" t="s">
        <v>86</v>
      </c>
      <c r="W20" s="541" t="s">
        <v>633</v>
      </c>
      <c r="X20" s="538" t="s">
        <v>181</v>
      </c>
      <c r="Y20" s="457" t="s">
        <v>634</v>
      </c>
      <c r="Z20" s="625"/>
      <c r="AA20" s="340"/>
      <c r="AB20" s="716" t="s">
        <v>635</v>
      </c>
      <c r="AD20" s="761"/>
    </row>
    <row r="21" spans="1:30" ht="15.6" customHeight="1">
      <c r="A21" s="73" t="s">
        <v>62</v>
      </c>
      <c r="B21" s="33" t="s">
        <v>62</v>
      </c>
      <c r="C21" s="33" t="s">
        <v>62</v>
      </c>
      <c r="D21" s="33"/>
      <c r="E21" s="33"/>
      <c r="F21" s="33" t="s">
        <v>62</v>
      </c>
      <c r="G21" s="33" t="s">
        <v>62</v>
      </c>
      <c r="H21" s="33" t="s">
        <v>62</v>
      </c>
      <c r="I21" s="1240"/>
      <c r="J21" s="267" t="s">
        <v>41</v>
      </c>
      <c r="K21" s="351" t="s">
        <v>81</v>
      </c>
      <c r="L21" s="697" t="s">
        <v>82</v>
      </c>
      <c r="M21" s="345" t="s">
        <v>83</v>
      </c>
      <c r="N21" s="315" t="s">
        <v>62</v>
      </c>
      <c r="O21" s="352" t="s">
        <v>40</v>
      </c>
      <c r="P21" s="352" t="s">
        <v>46</v>
      </c>
      <c r="Q21" s="830" t="s">
        <v>84</v>
      </c>
      <c r="R21" s="345" t="s">
        <v>85</v>
      </c>
      <c r="S21" s="346">
        <v>16</v>
      </c>
      <c r="T21" s="350">
        <v>350</v>
      </c>
      <c r="U21" s="350">
        <v>4</v>
      </c>
      <c r="V21" s="361" t="s">
        <v>86</v>
      </c>
      <c r="W21" s="320" t="s">
        <v>51</v>
      </c>
      <c r="X21" s="313" t="s">
        <v>52</v>
      </c>
      <c r="Y21" s="313" t="s">
        <v>52</v>
      </c>
      <c r="Z21" s="625"/>
      <c r="AA21" s="340"/>
      <c r="AB21" s="714" t="s">
        <v>40</v>
      </c>
      <c r="AC21" t="s">
        <v>53</v>
      </c>
      <c r="AD21" s="765" t="s">
        <v>87</v>
      </c>
    </row>
    <row r="22" spans="1:30" ht="15.6" customHeight="1">
      <c r="A22" s="18"/>
      <c r="B22" s="33"/>
      <c r="C22" s="33"/>
      <c r="D22" s="33"/>
      <c r="E22" s="33"/>
      <c r="F22" s="33"/>
      <c r="G22" s="33"/>
      <c r="H22" s="33"/>
      <c r="I22" s="1240"/>
      <c r="J22" s="267" t="s">
        <v>41</v>
      </c>
      <c r="K22" s="351" t="s">
        <v>88</v>
      </c>
      <c r="L22" s="359" t="s">
        <v>89</v>
      </c>
      <c r="M22" s="345" t="s">
        <v>90</v>
      </c>
      <c r="N22" s="310" t="s">
        <v>91</v>
      </c>
      <c r="O22" s="1241" t="s">
        <v>40</v>
      </c>
      <c r="P22" s="1241" t="s">
        <v>46</v>
      </c>
      <c r="Q22" s="351" t="s">
        <v>639</v>
      </c>
      <c r="R22" s="351" t="s">
        <v>85</v>
      </c>
      <c r="S22" s="313">
        <v>20</v>
      </c>
      <c r="T22" s="313">
        <v>150</v>
      </c>
      <c r="U22" s="313">
        <v>4</v>
      </c>
      <c r="V22" s="361" t="s">
        <v>50</v>
      </c>
      <c r="W22" s="320" t="s">
        <v>51</v>
      </c>
      <c r="X22" s="463" t="s">
        <v>52</v>
      </c>
      <c r="Y22" s="313" t="s">
        <v>52</v>
      </c>
      <c r="Z22" s="625"/>
      <c r="AA22" s="340"/>
      <c r="AB22" s="714" t="s">
        <v>40</v>
      </c>
      <c r="AC22" t="s">
        <v>53</v>
      </c>
      <c r="AD22" s="765" t="s">
        <v>87</v>
      </c>
    </row>
    <row r="23" spans="1:30" ht="15.6" customHeight="1">
      <c r="A23" s="18"/>
      <c r="B23" s="33"/>
      <c r="C23" s="33"/>
      <c r="D23" s="33"/>
      <c r="E23" s="33"/>
      <c r="F23" s="33"/>
      <c r="G23" s="33"/>
      <c r="H23" s="33"/>
      <c r="I23" s="1240"/>
      <c r="J23" s="267" t="s">
        <v>41</v>
      </c>
      <c r="K23" s="351" t="s">
        <v>92</v>
      </c>
      <c r="L23" s="359" t="s">
        <v>93</v>
      </c>
      <c r="M23" s="345" t="s">
        <v>94</v>
      </c>
      <c r="N23" s="315"/>
      <c r="O23" s="1241" t="s">
        <v>40</v>
      </c>
      <c r="P23" s="1241" t="s">
        <v>46</v>
      </c>
      <c r="Q23" s="351" t="s">
        <v>639</v>
      </c>
      <c r="R23" s="351" t="s">
        <v>85</v>
      </c>
      <c r="S23" s="313">
        <v>20</v>
      </c>
      <c r="T23" s="313">
        <v>150</v>
      </c>
      <c r="U23" s="313">
        <v>4</v>
      </c>
      <c r="V23" s="361" t="s">
        <v>50</v>
      </c>
      <c r="W23" s="320" t="s">
        <v>51</v>
      </c>
      <c r="X23" s="463"/>
      <c r="Y23" s="313"/>
      <c r="Z23" s="625"/>
      <c r="AA23" s="340"/>
      <c r="AB23" s="714" t="s">
        <v>40</v>
      </c>
      <c r="AC23" t="s">
        <v>53</v>
      </c>
      <c r="AD23" s="765" t="s">
        <v>87</v>
      </c>
    </row>
    <row r="24" spans="1:30" s="109" customFormat="1" ht="70.5" customHeight="1">
      <c r="A24" s="128"/>
      <c r="B24" s="128"/>
      <c r="C24" s="468"/>
      <c r="D24" s="468"/>
      <c r="E24" s="1242"/>
      <c r="F24" s="1242"/>
      <c r="G24" s="1242"/>
      <c r="H24" s="1242"/>
      <c r="I24" s="1240"/>
      <c r="J24" s="267" t="s">
        <v>41</v>
      </c>
      <c r="K24" s="363" t="s">
        <v>95</v>
      </c>
      <c r="L24" s="1243" t="s">
        <v>96</v>
      </c>
      <c r="M24" s="358" t="s">
        <v>97</v>
      </c>
      <c r="N24" s="318" t="s">
        <v>98</v>
      </c>
      <c r="O24" s="352" t="s">
        <v>40</v>
      </c>
      <c r="P24" s="352" t="s">
        <v>46</v>
      </c>
      <c r="Q24" s="359" t="s">
        <v>99</v>
      </c>
      <c r="R24" s="711" t="s">
        <v>100</v>
      </c>
      <c r="S24" s="1244">
        <v>48</v>
      </c>
      <c r="T24" s="1245">
        <v>180</v>
      </c>
      <c r="U24" s="1245">
        <v>8</v>
      </c>
      <c r="V24" s="361" t="s">
        <v>50</v>
      </c>
      <c r="W24" s="320" t="s">
        <v>51</v>
      </c>
      <c r="X24" s="320" t="s">
        <v>101</v>
      </c>
      <c r="Y24" s="320" t="s">
        <v>102</v>
      </c>
      <c r="Z24" s="625"/>
      <c r="AA24" s="532"/>
      <c r="AB24" s="715" t="s">
        <v>40</v>
      </c>
      <c r="AC24" s="109" t="s">
        <v>53</v>
      </c>
      <c r="AD24" s="765" t="s">
        <v>103</v>
      </c>
    </row>
    <row r="25" spans="1:30" s="109" customFormat="1" ht="32.1" customHeight="1">
      <c r="A25" s="303"/>
      <c r="B25" s="35"/>
      <c r="C25" s="35"/>
      <c r="D25" s="35"/>
      <c r="E25" s="35"/>
      <c r="F25" s="35"/>
      <c r="G25" s="35"/>
      <c r="H25" s="35"/>
      <c r="I25" s="1240"/>
      <c r="J25" s="398" t="s">
        <v>41</v>
      </c>
      <c r="K25" s="488" t="s">
        <v>104</v>
      </c>
      <c r="L25" s="1246" t="s">
        <v>105</v>
      </c>
      <c r="M25" s="418" t="s">
        <v>106</v>
      </c>
      <c r="N25" s="418" t="s">
        <v>62</v>
      </c>
      <c r="O25" s="352" t="s">
        <v>40</v>
      </c>
      <c r="P25" s="352" t="s">
        <v>46</v>
      </c>
      <c r="Q25" s="359" t="s">
        <v>99</v>
      </c>
      <c r="R25" s="359" t="s">
        <v>107</v>
      </c>
      <c r="S25" s="352">
        <v>8</v>
      </c>
      <c r="T25" s="352">
        <v>931.65</v>
      </c>
      <c r="U25" s="352">
        <v>4</v>
      </c>
      <c r="V25" s="1247" t="s">
        <v>65</v>
      </c>
      <c r="W25" s="320" t="s">
        <v>51</v>
      </c>
      <c r="X25" s="320"/>
      <c r="Y25" s="320"/>
      <c r="Z25" s="625"/>
      <c r="AA25" s="532"/>
      <c r="AB25" s="715" t="s">
        <v>40</v>
      </c>
      <c r="AC25" s="109" t="s">
        <v>53</v>
      </c>
      <c r="AD25" s="765" t="s">
        <v>103</v>
      </c>
    </row>
    <row r="26" spans="1:30" s="109" customFormat="1" ht="31.35" customHeight="1">
      <c r="A26" s="303" t="s">
        <v>62</v>
      </c>
      <c r="B26" s="35" t="s">
        <v>62</v>
      </c>
      <c r="C26" s="35" t="s">
        <v>62</v>
      </c>
      <c r="D26" s="35"/>
      <c r="E26" s="35"/>
      <c r="F26" s="35" t="s">
        <v>62</v>
      </c>
      <c r="G26" s="35" t="s">
        <v>62</v>
      </c>
      <c r="H26" s="35" t="s">
        <v>62</v>
      </c>
      <c r="I26" s="1240"/>
      <c r="J26" s="267" t="s">
        <v>41</v>
      </c>
      <c r="K26" s="363" t="s">
        <v>108</v>
      </c>
      <c r="L26" s="702" t="s">
        <v>109</v>
      </c>
      <c r="M26" s="358" t="s">
        <v>110</v>
      </c>
      <c r="N26" s="318" t="s">
        <v>62</v>
      </c>
      <c r="O26" s="352" t="s">
        <v>40</v>
      </c>
      <c r="P26" s="352" t="s">
        <v>46</v>
      </c>
      <c r="Q26" s="359" t="s">
        <v>99</v>
      </c>
      <c r="R26" s="358" t="s">
        <v>85</v>
      </c>
      <c r="S26" s="360">
        <v>20</v>
      </c>
      <c r="T26" s="352">
        <v>400</v>
      </c>
      <c r="U26" s="352">
        <v>4</v>
      </c>
      <c r="V26" s="361" t="s">
        <v>65</v>
      </c>
      <c r="W26" s="320" t="s">
        <v>51</v>
      </c>
      <c r="X26" s="320" t="s">
        <v>52</v>
      </c>
      <c r="Y26" s="320" t="s">
        <v>52</v>
      </c>
      <c r="Z26" s="625"/>
      <c r="AA26" s="532"/>
      <c r="AB26" s="715" t="s">
        <v>40</v>
      </c>
      <c r="AC26" s="109" t="s">
        <v>53</v>
      </c>
      <c r="AD26" s="764" t="s">
        <v>111</v>
      </c>
    </row>
    <row r="27" spans="1:30" s="109" customFormat="1" ht="35.25" customHeight="1">
      <c r="A27" s="303"/>
      <c r="B27" s="35"/>
      <c r="C27" s="35"/>
      <c r="D27" s="35"/>
      <c r="E27" s="35"/>
      <c r="F27" s="35"/>
      <c r="G27" s="35"/>
      <c r="H27" s="35"/>
      <c r="I27" s="1240"/>
      <c r="J27" s="267" t="s">
        <v>41</v>
      </c>
      <c r="K27" s="363" t="s">
        <v>112</v>
      </c>
      <c r="L27" s="703" t="s">
        <v>113</v>
      </c>
      <c r="M27" s="458" t="s">
        <v>114</v>
      </c>
      <c r="N27" s="318"/>
      <c r="O27" s="352" t="s">
        <v>46</v>
      </c>
      <c r="P27" s="352" t="s">
        <v>40</v>
      </c>
      <c r="Q27" s="359" t="s">
        <v>115</v>
      </c>
      <c r="R27" s="358" t="s">
        <v>116</v>
      </c>
      <c r="S27" s="360">
        <v>16</v>
      </c>
      <c r="T27" s="352">
        <v>160</v>
      </c>
      <c r="U27" s="352">
        <v>2</v>
      </c>
      <c r="V27" s="342" t="s">
        <v>50</v>
      </c>
      <c r="W27" s="320" t="s">
        <v>51</v>
      </c>
      <c r="X27" s="320"/>
      <c r="Y27" s="320"/>
      <c r="Z27" s="625"/>
      <c r="AA27" s="340"/>
      <c r="AB27" s="715" t="s">
        <v>40</v>
      </c>
      <c r="AC27" s="109" t="s">
        <v>53</v>
      </c>
      <c r="AD27" s="765" t="s">
        <v>117</v>
      </c>
    </row>
    <row r="28" spans="1:30" s="443" customFormat="1" ht="52.5" customHeight="1">
      <c r="A28" s="439"/>
      <c r="B28" s="440"/>
      <c r="C28" s="440"/>
      <c r="D28" s="440"/>
      <c r="E28" s="440"/>
      <c r="F28" s="440"/>
      <c r="G28" s="440"/>
      <c r="H28" s="440"/>
      <c r="I28" s="1240"/>
      <c r="J28" s="398" t="s">
        <v>41</v>
      </c>
      <c r="K28" s="698" t="s">
        <v>640</v>
      </c>
      <c r="L28" s="699" t="s">
        <v>119</v>
      </c>
      <c r="M28" s="441" t="s">
        <v>120</v>
      </c>
      <c r="N28" s="442"/>
      <c r="O28" s="352" t="s">
        <v>46</v>
      </c>
      <c r="P28" s="352" t="s">
        <v>40</v>
      </c>
      <c r="Q28" s="441" t="s">
        <v>121</v>
      </c>
      <c r="R28" s="1248" t="s">
        <v>116</v>
      </c>
      <c r="S28" s="352">
        <v>4</v>
      </c>
      <c r="T28" s="352">
        <v>300</v>
      </c>
      <c r="U28" s="361">
        <v>4</v>
      </c>
      <c r="V28" s="320" t="s">
        <v>50</v>
      </c>
      <c r="W28" s="464" t="s">
        <v>51</v>
      </c>
      <c r="X28" s="441"/>
      <c r="Y28" s="441"/>
      <c r="Z28" s="625"/>
      <c r="AA28" s="340"/>
      <c r="AB28" s="715" t="s">
        <v>40</v>
      </c>
      <c r="AC28" s="443" t="s">
        <v>53</v>
      </c>
      <c r="AD28" s="198" t="s">
        <v>122</v>
      </c>
    </row>
    <row r="29" spans="1:30" s="109" customFormat="1" ht="52.5" customHeight="1">
      <c r="A29" s="303"/>
      <c r="B29" s="35"/>
      <c r="C29" s="35"/>
      <c r="D29" s="35"/>
      <c r="E29" s="35"/>
      <c r="F29" s="35"/>
      <c r="G29" s="35"/>
      <c r="H29" s="35"/>
      <c r="I29" s="1240"/>
      <c r="J29" s="267" t="s">
        <v>41</v>
      </c>
      <c r="K29" s="363" t="s">
        <v>123</v>
      </c>
      <c r="L29" s="363" t="s">
        <v>124</v>
      </c>
      <c r="M29" s="1249" t="s">
        <v>125</v>
      </c>
      <c r="N29" s="1250"/>
      <c r="O29" s="352" t="s">
        <v>46</v>
      </c>
      <c r="P29" s="352" t="s">
        <v>40</v>
      </c>
      <c r="Q29" s="359" t="s">
        <v>99</v>
      </c>
      <c r="R29" s="359" t="s">
        <v>126</v>
      </c>
      <c r="S29" s="360">
        <v>8</v>
      </c>
      <c r="T29" s="352">
        <v>100</v>
      </c>
      <c r="U29" s="352">
        <v>4</v>
      </c>
      <c r="V29" s="361" t="s">
        <v>50</v>
      </c>
      <c r="W29" s="320" t="s">
        <v>51</v>
      </c>
      <c r="X29" s="320" t="s">
        <v>52</v>
      </c>
      <c r="Y29" s="320" t="s">
        <v>52</v>
      </c>
      <c r="Z29" s="625"/>
      <c r="AA29" s="532"/>
      <c r="AB29" s="715" t="s">
        <v>40</v>
      </c>
      <c r="AC29" s="109" t="s">
        <v>53</v>
      </c>
      <c r="AD29" s="765" t="s">
        <v>127</v>
      </c>
    </row>
    <row r="30" spans="1:30" s="109" customFormat="1" ht="52.5" customHeight="1">
      <c r="A30" s="303"/>
      <c r="B30" s="35"/>
      <c r="C30" s="35"/>
      <c r="D30" s="35"/>
      <c r="E30" s="35"/>
      <c r="F30" s="35"/>
      <c r="G30" s="35"/>
      <c r="H30" s="35"/>
      <c r="I30" s="1240"/>
      <c r="J30" s="267" t="s">
        <v>41</v>
      </c>
      <c r="K30" s="363" t="s">
        <v>130</v>
      </c>
      <c r="L30" s="704" t="s">
        <v>131</v>
      </c>
      <c r="M30" s="363" t="s">
        <v>132</v>
      </c>
      <c r="N30" s="379"/>
      <c r="O30" s="352" t="s">
        <v>46</v>
      </c>
      <c r="P30" s="352" t="s">
        <v>40</v>
      </c>
      <c r="Q30" s="359" t="s">
        <v>115</v>
      </c>
      <c r="R30" s="359" t="s">
        <v>116</v>
      </c>
      <c r="S30" s="360">
        <v>16</v>
      </c>
      <c r="T30" s="352">
        <v>500</v>
      </c>
      <c r="U30" s="352">
        <v>4</v>
      </c>
      <c r="V30" s="361" t="s">
        <v>50</v>
      </c>
      <c r="W30" s="320" t="s">
        <v>51</v>
      </c>
      <c r="X30" s="320"/>
      <c r="Y30" s="320"/>
      <c r="Z30" s="625"/>
      <c r="AA30" s="532"/>
      <c r="AB30" s="715" t="s">
        <v>40</v>
      </c>
      <c r="AC30" s="109" t="s">
        <v>134</v>
      </c>
      <c r="AD30" s="765" t="s">
        <v>117</v>
      </c>
    </row>
    <row r="31" spans="1:30" s="109" customFormat="1" ht="15.6" customHeight="1">
      <c r="A31" s="303"/>
      <c r="B31" s="35"/>
      <c r="C31" s="35"/>
      <c r="D31" s="35"/>
      <c r="E31" s="35"/>
      <c r="F31" s="35"/>
      <c r="G31" s="35"/>
      <c r="H31" s="35"/>
      <c r="I31" s="1240"/>
      <c r="J31" s="267" t="s">
        <v>41</v>
      </c>
      <c r="K31" s="359" t="s">
        <v>155</v>
      </c>
      <c r="L31" s="1251" t="s">
        <v>156</v>
      </c>
      <c r="M31" s="363" t="s">
        <v>157</v>
      </c>
      <c r="N31" s="379"/>
      <c r="O31" s="352" t="s">
        <v>46</v>
      </c>
      <c r="P31" s="352" t="s">
        <v>40</v>
      </c>
      <c r="Q31" s="363" t="s">
        <v>641</v>
      </c>
      <c r="R31" s="359" t="s">
        <v>138</v>
      </c>
      <c r="S31" s="360">
        <v>4</v>
      </c>
      <c r="T31" s="352">
        <v>400</v>
      </c>
      <c r="U31" s="352">
        <v>2</v>
      </c>
      <c r="V31" s="361" t="s">
        <v>50</v>
      </c>
      <c r="W31" s="320" t="s">
        <v>51</v>
      </c>
      <c r="X31" s="320" t="s">
        <v>52</v>
      </c>
      <c r="Y31" s="320" t="s">
        <v>52</v>
      </c>
      <c r="Z31" s="625"/>
      <c r="AA31" s="532"/>
      <c r="AB31" s="715" t="s">
        <v>40</v>
      </c>
      <c r="AC31" s="109" t="s">
        <v>53</v>
      </c>
      <c r="AD31" s="765" t="s">
        <v>127</v>
      </c>
    </row>
    <row r="32" spans="1:30" s="109" customFormat="1" ht="15.6" customHeight="1">
      <c r="A32" s="303"/>
      <c r="B32" s="35"/>
      <c r="C32" s="35"/>
      <c r="D32" s="35"/>
      <c r="E32" s="35"/>
      <c r="F32" s="35"/>
      <c r="G32" s="35"/>
      <c r="H32" s="35"/>
      <c r="I32" s="1240"/>
      <c r="J32" s="267" t="s">
        <v>41</v>
      </c>
      <c r="K32" s="363" t="s">
        <v>159</v>
      </c>
      <c r="L32" s="704" t="s">
        <v>160</v>
      </c>
      <c r="M32" s="363" t="s">
        <v>161</v>
      </c>
      <c r="N32" s="379"/>
      <c r="O32" s="352" t="s">
        <v>46</v>
      </c>
      <c r="P32" s="352" t="s">
        <v>40</v>
      </c>
      <c r="Q32" s="363" t="s">
        <v>162</v>
      </c>
      <c r="R32" s="359" t="s">
        <v>163</v>
      </c>
      <c r="S32" s="360">
        <v>8</v>
      </c>
      <c r="T32" s="352">
        <v>250</v>
      </c>
      <c r="U32" s="352">
        <v>4</v>
      </c>
      <c r="V32" s="361" t="s">
        <v>50</v>
      </c>
      <c r="W32" s="320" t="s">
        <v>51</v>
      </c>
      <c r="X32" s="320"/>
      <c r="Y32" s="320"/>
      <c r="Z32" s="625"/>
      <c r="AA32" s="532"/>
      <c r="AB32" s="715" t="s">
        <v>40</v>
      </c>
      <c r="AC32" s="109" t="s">
        <v>53</v>
      </c>
      <c r="AD32" s="765" t="s">
        <v>164</v>
      </c>
    </row>
    <row r="33" spans="1:30" s="109" customFormat="1" ht="15.6" customHeight="1">
      <c r="A33" s="303" t="s">
        <v>62</v>
      </c>
      <c r="B33" s="35" t="s">
        <v>62</v>
      </c>
      <c r="C33" s="35" t="s">
        <v>62</v>
      </c>
      <c r="D33" s="35"/>
      <c r="E33" s="35"/>
      <c r="F33" s="35" t="s">
        <v>62</v>
      </c>
      <c r="G33" s="35" t="s">
        <v>62</v>
      </c>
      <c r="H33" s="35" t="s">
        <v>62</v>
      </c>
      <c r="I33" s="1240"/>
      <c r="J33" s="267" t="s">
        <v>41</v>
      </c>
      <c r="K33" s="363" t="s">
        <v>165</v>
      </c>
      <c r="L33" s="704" t="s">
        <v>166</v>
      </c>
      <c r="M33" s="363" t="s">
        <v>167</v>
      </c>
      <c r="N33" s="379" t="s">
        <v>62</v>
      </c>
      <c r="O33" s="352" t="s">
        <v>46</v>
      </c>
      <c r="P33" s="352" t="s">
        <v>40</v>
      </c>
      <c r="Q33" s="363" t="s">
        <v>286</v>
      </c>
      <c r="R33" s="359" t="s">
        <v>168</v>
      </c>
      <c r="S33" s="360">
        <v>8</v>
      </c>
      <c r="T33" s="352">
        <v>100</v>
      </c>
      <c r="U33" s="352">
        <v>4</v>
      </c>
      <c r="V33" s="361" t="s">
        <v>50</v>
      </c>
      <c r="W33" s="320" t="s">
        <v>51</v>
      </c>
      <c r="X33" s="320" t="s">
        <v>52</v>
      </c>
      <c r="Y33" s="320" t="s">
        <v>52</v>
      </c>
      <c r="Z33" s="625"/>
      <c r="AA33" s="532"/>
      <c r="AB33" s="715" t="s">
        <v>40</v>
      </c>
      <c r="AC33" s="109" t="s">
        <v>53</v>
      </c>
    </row>
    <row r="34" spans="1:30" ht="15.6" customHeight="1">
      <c r="A34" s="73"/>
      <c r="B34" s="33"/>
      <c r="C34" s="33"/>
      <c r="D34" s="33"/>
      <c r="E34" s="33"/>
      <c r="F34" s="33"/>
      <c r="G34" s="33"/>
      <c r="H34" s="33"/>
      <c r="I34" s="1240"/>
      <c r="J34" s="267" t="s">
        <v>41</v>
      </c>
      <c r="K34" s="351" t="s">
        <v>170</v>
      </c>
      <c r="L34" s="704" t="s">
        <v>171</v>
      </c>
      <c r="M34" s="351" t="s">
        <v>172</v>
      </c>
      <c r="N34" s="460" t="s">
        <v>173</v>
      </c>
      <c r="O34" s="352" t="s">
        <v>46</v>
      </c>
      <c r="P34" s="352" t="s">
        <v>40</v>
      </c>
      <c r="Q34" s="351" t="s">
        <v>174</v>
      </c>
      <c r="R34" s="344" t="s">
        <v>138</v>
      </c>
      <c r="S34" s="350">
        <v>8</v>
      </c>
      <c r="T34" s="352">
        <v>300</v>
      </c>
      <c r="U34" s="350">
        <v>8</v>
      </c>
      <c r="V34" s="361" t="s">
        <v>50</v>
      </c>
      <c r="W34" s="320" t="s">
        <v>51</v>
      </c>
      <c r="X34" s="313"/>
      <c r="Y34" s="313"/>
      <c r="Z34" s="625"/>
      <c r="AA34" s="340"/>
      <c r="AB34" s="714"/>
    </row>
    <row r="35" spans="1:30" ht="15.6" customHeight="1">
      <c r="A35" s="73" t="s">
        <v>62</v>
      </c>
      <c r="B35" s="33" t="s">
        <v>62</v>
      </c>
      <c r="C35" s="33" t="s">
        <v>62</v>
      </c>
      <c r="D35" s="33"/>
      <c r="E35" s="33"/>
      <c r="F35" s="33" t="s">
        <v>62</v>
      </c>
      <c r="G35" s="33" t="s">
        <v>62</v>
      </c>
      <c r="H35" s="33" t="s">
        <v>62</v>
      </c>
      <c r="I35" s="1240"/>
      <c r="J35" s="370" t="s">
        <v>41</v>
      </c>
      <c r="K35" s="438" t="s">
        <v>177</v>
      </c>
      <c r="L35" s="705" t="s">
        <v>178</v>
      </c>
      <c r="M35" s="351" t="s">
        <v>179</v>
      </c>
      <c r="N35" s="310" t="s">
        <v>62</v>
      </c>
      <c r="O35" s="352" t="s">
        <v>40</v>
      </c>
      <c r="P35" s="352" t="s">
        <v>46</v>
      </c>
      <c r="Q35" s="351" t="s">
        <v>174</v>
      </c>
      <c r="R35" s="344" t="s">
        <v>180</v>
      </c>
      <c r="S35" s="346">
        <v>8</v>
      </c>
      <c r="T35" s="350">
        <v>550</v>
      </c>
      <c r="U35" s="350">
        <v>2</v>
      </c>
      <c r="V35" s="361" t="s">
        <v>86</v>
      </c>
      <c r="W35" s="320" t="s">
        <v>51</v>
      </c>
      <c r="X35" s="313" t="s">
        <v>181</v>
      </c>
      <c r="Y35" s="313" t="s">
        <v>182</v>
      </c>
      <c r="Z35" s="625"/>
      <c r="AA35" s="340"/>
      <c r="AB35" s="714" t="s">
        <v>40</v>
      </c>
      <c r="AC35" t="s">
        <v>53</v>
      </c>
      <c r="AD35" s="764" t="s">
        <v>111</v>
      </c>
    </row>
    <row r="36" spans="1:30" ht="15.6" customHeight="1">
      <c r="A36" s="18"/>
      <c r="B36" s="33"/>
      <c r="C36" s="33"/>
      <c r="D36" s="33"/>
      <c r="E36" s="33"/>
      <c r="F36" s="33"/>
      <c r="G36" s="33"/>
      <c r="H36" s="33"/>
      <c r="I36" s="1240"/>
      <c r="J36" s="267" t="s">
        <v>41</v>
      </c>
      <c r="K36" s="365" t="s">
        <v>183</v>
      </c>
      <c r="L36" s="358" t="s">
        <v>184</v>
      </c>
      <c r="M36" s="345" t="s">
        <v>185</v>
      </c>
      <c r="N36" s="760"/>
      <c r="O36" s="352" t="s">
        <v>40</v>
      </c>
      <c r="P36" s="342" t="s">
        <v>46</v>
      </c>
      <c r="Q36" s="344" t="s">
        <v>186</v>
      </c>
      <c r="R36" s="345" t="s">
        <v>187</v>
      </c>
      <c r="S36" s="346">
        <v>38</v>
      </c>
      <c r="T36" s="350">
        <v>100</v>
      </c>
      <c r="U36" s="312">
        <v>10</v>
      </c>
      <c r="V36" s="562" t="s">
        <v>50</v>
      </c>
      <c r="W36" s="320" t="s">
        <v>188</v>
      </c>
      <c r="X36" s="463"/>
      <c r="Y36" s="313"/>
      <c r="Z36" s="625"/>
      <c r="AA36" s="340"/>
      <c r="AB36" s="714"/>
    </row>
    <row r="37" spans="1:30" ht="23.25" customHeight="1">
      <c r="A37" s="73"/>
      <c r="B37" s="33"/>
      <c r="C37" s="33"/>
      <c r="D37" s="33"/>
      <c r="E37" s="33"/>
      <c r="F37" s="33"/>
      <c r="G37" s="33"/>
      <c r="H37" s="33"/>
      <c r="I37" s="1240"/>
      <c r="J37" s="267" t="s">
        <v>41</v>
      </c>
      <c r="K37" s="363" t="s">
        <v>189</v>
      </c>
      <c r="L37" s="379" t="s">
        <v>190</v>
      </c>
      <c r="M37" s="363" t="s">
        <v>191</v>
      </c>
      <c r="N37" s="379" t="s">
        <v>62</v>
      </c>
      <c r="O37" s="352" t="s">
        <v>40</v>
      </c>
      <c r="P37" s="352" t="s">
        <v>46</v>
      </c>
      <c r="Q37" s="363" t="s">
        <v>192</v>
      </c>
      <c r="R37" s="363" t="s">
        <v>85</v>
      </c>
      <c r="S37" s="320">
        <v>8</v>
      </c>
      <c r="T37" s="320">
        <v>80</v>
      </c>
      <c r="U37" s="320">
        <v>4</v>
      </c>
      <c r="V37" s="320" t="s">
        <v>50</v>
      </c>
      <c r="W37" s="320" t="s">
        <v>51</v>
      </c>
      <c r="X37" s="320" t="s">
        <v>52</v>
      </c>
      <c r="Y37" s="320" t="s">
        <v>52</v>
      </c>
      <c r="Z37" s="625"/>
      <c r="AA37" s="340"/>
      <c r="AB37" s="717" t="s">
        <v>40</v>
      </c>
      <c r="AC37" t="s">
        <v>53</v>
      </c>
      <c r="AD37" s="765" t="s">
        <v>87</v>
      </c>
    </row>
    <row r="38" spans="1:30" s="292" customFormat="1" ht="15.6" customHeight="1">
      <c r="A38" s="290" t="s">
        <v>62</v>
      </c>
      <c r="B38" s="291" t="s">
        <v>62</v>
      </c>
      <c r="C38" s="291" t="s">
        <v>62</v>
      </c>
      <c r="D38" s="291"/>
      <c r="E38" s="291"/>
      <c r="F38" s="291" t="s">
        <v>62</v>
      </c>
      <c r="G38" s="291" t="s">
        <v>62</v>
      </c>
      <c r="H38" s="291" t="s">
        <v>62</v>
      </c>
      <c r="I38" s="1240"/>
      <c r="J38" s="415" t="s">
        <v>41</v>
      </c>
      <c r="K38" s="416" t="s">
        <v>642</v>
      </c>
      <c r="L38" s="589" t="s">
        <v>643</v>
      </c>
      <c r="M38" s="416" t="s">
        <v>644</v>
      </c>
      <c r="N38" s="461" t="s">
        <v>645</v>
      </c>
      <c r="O38" s="461"/>
      <c r="P38" s="461"/>
      <c r="Q38" s="416" t="s">
        <v>646</v>
      </c>
      <c r="R38" s="316" t="s">
        <v>85</v>
      </c>
      <c r="S38" s="346">
        <v>3</v>
      </c>
      <c r="T38" s="350">
        <v>250</v>
      </c>
      <c r="U38" s="350">
        <v>3</v>
      </c>
      <c r="V38" s="542" t="s">
        <v>65</v>
      </c>
      <c r="W38" s="547" t="s">
        <v>633</v>
      </c>
      <c r="X38" s="353" t="s">
        <v>52</v>
      </c>
      <c r="Y38" s="353" t="s">
        <v>52</v>
      </c>
      <c r="Z38" s="626"/>
      <c r="AA38" s="531"/>
      <c r="AB38" s="718" t="s">
        <v>635</v>
      </c>
      <c r="AD38" s="762"/>
    </row>
    <row r="39" spans="1:30" s="109" customFormat="1" ht="31.35" customHeight="1">
      <c r="A39" s="303" t="s">
        <v>62</v>
      </c>
      <c r="B39" s="35" t="s">
        <v>62</v>
      </c>
      <c r="C39" s="35" t="s">
        <v>62</v>
      </c>
      <c r="D39" s="35"/>
      <c r="E39" s="35"/>
      <c r="F39" s="35" t="s">
        <v>62</v>
      </c>
      <c r="G39" s="35" t="s">
        <v>62</v>
      </c>
      <c r="H39" s="35" t="s">
        <v>62</v>
      </c>
      <c r="I39" s="1240"/>
      <c r="J39" s="267" t="s">
        <v>41</v>
      </c>
      <c r="K39" s="363" t="s">
        <v>193</v>
      </c>
      <c r="L39" s="704" t="s">
        <v>194</v>
      </c>
      <c r="M39" s="364" t="s">
        <v>195</v>
      </c>
      <c r="N39" s="379" t="s">
        <v>196</v>
      </c>
      <c r="O39" s="352" t="s">
        <v>46</v>
      </c>
      <c r="P39" s="352" t="s">
        <v>40</v>
      </c>
      <c r="Q39" s="363" t="s">
        <v>286</v>
      </c>
      <c r="R39" s="359" t="s">
        <v>116</v>
      </c>
      <c r="S39" s="360">
        <v>20</v>
      </c>
      <c r="T39" s="352">
        <f>250+150</f>
        <v>400</v>
      </c>
      <c r="U39" s="352">
        <v>4</v>
      </c>
      <c r="V39" s="361" t="s">
        <v>50</v>
      </c>
      <c r="W39" s="320" t="s">
        <v>51</v>
      </c>
      <c r="X39" s="320" t="s">
        <v>52</v>
      </c>
      <c r="Y39" s="320" t="s">
        <v>52</v>
      </c>
      <c r="Z39" s="625"/>
      <c r="AA39" s="532"/>
      <c r="AB39" s="715" t="s">
        <v>40</v>
      </c>
      <c r="AC39" s="109" t="s">
        <v>53</v>
      </c>
      <c r="AD39" s="765" t="s">
        <v>117</v>
      </c>
    </row>
    <row r="40" spans="1:30" s="109" customFormat="1" ht="27" customHeight="1">
      <c r="A40" s="303" t="s">
        <v>62</v>
      </c>
      <c r="B40" s="35" t="s">
        <v>62</v>
      </c>
      <c r="C40" s="35" t="s">
        <v>62</v>
      </c>
      <c r="D40" s="35"/>
      <c r="E40" s="35"/>
      <c r="F40" s="35" t="s">
        <v>62</v>
      </c>
      <c r="G40" s="35" t="s">
        <v>62</v>
      </c>
      <c r="H40" s="35" t="s">
        <v>62</v>
      </c>
      <c r="I40" s="1240"/>
      <c r="J40" s="267" t="s">
        <v>41</v>
      </c>
      <c r="K40" s="359" t="s">
        <v>197</v>
      </c>
      <c r="L40" s="358" t="s">
        <v>198</v>
      </c>
      <c r="M40" s="358" t="s">
        <v>199</v>
      </c>
      <c r="N40" s="318" t="s">
        <v>62</v>
      </c>
      <c r="O40" s="352" t="s">
        <v>40</v>
      </c>
      <c r="P40" s="352" t="s">
        <v>46</v>
      </c>
      <c r="Q40" s="344" t="s">
        <v>186</v>
      </c>
      <c r="R40" s="359" t="s">
        <v>85</v>
      </c>
      <c r="S40" s="360">
        <v>6</v>
      </c>
      <c r="T40" s="352">
        <v>250</v>
      </c>
      <c r="U40" s="352">
        <v>4</v>
      </c>
      <c r="V40" s="361" t="s">
        <v>65</v>
      </c>
      <c r="W40" s="600" t="s">
        <v>200</v>
      </c>
      <c r="X40" s="320" t="s">
        <v>52</v>
      </c>
      <c r="Y40" s="320" t="s">
        <v>52</v>
      </c>
      <c r="Z40" s="624"/>
      <c r="AA40" s="532"/>
      <c r="AB40" s="715" t="s">
        <v>40</v>
      </c>
      <c r="AC40" s="109" t="s">
        <v>53</v>
      </c>
      <c r="AD40" s="765" t="s">
        <v>117</v>
      </c>
    </row>
    <row r="41" spans="1:30" ht="16.350000000000001" customHeight="1">
      <c r="A41" s="73"/>
      <c r="B41" s="33"/>
      <c r="C41" s="33"/>
      <c r="D41" s="33"/>
      <c r="E41" s="33"/>
      <c r="F41" s="33"/>
      <c r="G41" s="33"/>
      <c r="H41" s="33"/>
      <c r="I41" s="1240"/>
      <c r="J41" s="267" t="s">
        <v>41</v>
      </c>
      <c r="K41" s="351" t="s">
        <v>201</v>
      </c>
      <c r="L41" s="363" t="s">
        <v>202</v>
      </c>
      <c r="M41" s="354" t="s">
        <v>203</v>
      </c>
      <c r="N41" s="340" t="s">
        <v>62</v>
      </c>
      <c r="O41" s="352" t="s">
        <v>40</v>
      </c>
      <c r="P41" s="352" t="s">
        <v>46</v>
      </c>
      <c r="Q41" s="351" t="s">
        <v>174</v>
      </c>
      <c r="R41" s="354" t="s">
        <v>205</v>
      </c>
      <c r="S41" s="356">
        <v>64</v>
      </c>
      <c r="T41" s="357">
        <v>3000</v>
      </c>
      <c r="U41" s="356">
        <v>8</v>
      </c>
      <c r="V41" s="361" t="s">
        <v>50</v>
      </c>
      <c r="W41" s="320" t="s">
        <v>51</v>
      </c>
      <c r="X41" s="313" t="s">
        <v>206</v>
      </c>
      <c r="Y41" s="313" t="s">
        <v>207</v>
      </c>
      <c r="Z41" s="625"/>
      <c r="AA41" s="340"/>
      <c r="AB41" s="719" t="s">
        <v>208</v>
      </c>
      <c r="AC41" t="s">
        <v>53</v>
      </c>
      <c r="AD41" s="765" t="s">
        <v>54</v>
      </c>
    </row>
    <row r="42" spans="1:30" s="109" customFormat="1" ht="28.5" customHeight="1">
      <c r="A42" s="303" t="s">
        <v>62</v>
      </c>
      <c r="B42" s="35" t="s">
        <v>62</v>
      </c>
      <c r="C42" s="35" t="s">
        <v>62</v>
      </c>
      <c r="D42" s="35"/>
      <c r="E42" s="35"/>
      <c r="F42" s="35" t="s">
        <v>62</v>
      </c>
      <c r="G42" s="35" t="s">
        <v>62</v>
      </c>
      <c r="H42" s="35" t="s">
        <v>62</v>
      </c>
      <c r="I42" s="1240"/>
      <c r="J42" s="267" t="s">
        <v>41</v>
      </c>
      <c r="K42" s="363" t="s">
        <v>209</v>
      </c>
      <c r="L42" s="363" t="s">
        <v>210</v>
      </c>
      <c r="M42" s="530" t="s">
        <v>211</v>
      </c>
      <c r="N42" s="379" t="s">
        <v>212</v>
      </c>
      <c r="O42" s="352" t="s">
        <v>40</v>
      </c>
      <c r="P42" s="352" t="s">
        <v>46</v>
      </c>
      <c r="Q42" s="344" t="s">
        <v>186</v>
      </c>
      <c r="R42" s="363" t="s">
        <v>187</v>
      </c>
      <c r="S42" s="320">
        <v>2</v>
      </c>
      <c r="T42" s="320">
        <v>60</v>
      </c>
      <c r="U42" s="320">
        <v>1</v>
      </c>
      <c r="V42" s="361" t="s">
        <v>50</v>
      </c>
      <c r="W42" s="600" t="s">
        <v>51</v>
      </c>
      <c r="X42" s="320" t="s">
        <v>52</v>
      </c>
      <c r="Y42" s="320" t="s">
        <v>52</v>
      </c>
      <c r="Z42" s="625"/>
      <c r="AA42" s="340"/>
      <c r="AB42" s="715" t="s">
        <v>40</v>
      </c>
      <c r="AC42" s="109" t="s">
        <v>53</v>
      </c>
      <c r="AD42" s="109" t="s">
        <v>213</v>
      </c>
    </row>
    <row r="43" spans="1:30" ht="15.6" customHeight="1">
      <c r="A43" s="73" t="s">
        <v>62</v>
      </c>
      <c r="B43" s="33" t="s">
        <v>62</v>
      </c>
      <c r="C43" s="33" t="s">
        <v>62</v>
      </c>
      <c r="D43" s="33"/>
      <c r="E43" s="33"/>
      <c r="F43" s="33" t="s">
        <v>62</v>
      </c>
      <c r="G43" s="33" t="s">
        <v>62</v>
      </c>
      <c r="H43" s="33" t="s">
        <v>62</v>
      </c>
      <c r="I43" s="1240"/>
      <c r="J43" s="267" t="s">
        <v>41</v>
      </c>
      <c r="K43" s="351" t="s">
        <v>214</v>
      </c>
      <c r="L43" s="363" t="s">
        <v>215</v>
      </c>
      <c r="M43" s="344" t="s">
        <v>216</v>
      </c>
      <c r="N43" s="315" t="s">
        <v>217</v>
      </c>
      <c r="O43" s="352" t="s">
        <v>40</v>
      </c>
      <c r="P43" s="352" t="s">
        <v>46</v>
      </c>
      <c r="Q43" s="831" t="s">
        <v>218</v>
      </c>
      <c r="R43" s="345" t="s">
        <v>187</v>
      </c>
      <c r="S43" s="346">
        <v>4</v>
      </c>
      <c r="T43" s="350">
        <v>50</v>
      </c>
      <c r="U43" s="350">
        <v>2</v>
      </c>
      <c r="V43" s="361" t="s">
        <v>86</v>
      </c>
      <c r="W43" s="600" t="s">
        <v>51</v>
      </c>
      <c r="X43" s="313" t="s">
        <v>52</v>
      </c>
      <c r="Y43" s="313" t="s">
        <v>52</v>
      </c>
      <c r="Z43" s="625"/>
      <c r="AA43" s="340"/>
      <c r="AB43" s="714" t="s">
        <v>40</v>
      </c>
      <c r="AC43" t="s">
        <v>219</v>
      </c>
      <c r="AD43" s="764" t="s">
        <v>220</v>
      </c>
    </row>
    <row r="44" spans="1:30" ht="15.6" customHeight="1">
      <c r="A44" s="73" t="s">
        <v>62</v>
      </c>
      <c r="B44" s="33" t="s">
        <v>62</v>
      </c>
      <c r="C44" s="33" t="s">
        <v>62</v>
      </c>
      <c r="D44" s="33"/>
      <c r="E44" s="33"/>
      <c r="F44" s="33" t="s">
        <v>62</v>
      </c>
      <c r="G44" s="33" t="s">
        <v>62</v>
      </c>
      <c r="H44" s="33" t="s">
        <v>62</v>
      </c>
      <c r="I44" s="1240"/>
      <c r="J44" s="267" t="s">
        <v>41</v>
      </c>
      <c r="K44" s="351" t="s">
        <v>221</v>
      </c>
      <c r="L44" s="363" t="s">
        <v>222</v>
      </c>
      <c r="M44" s="344" t="s">
        <v>647</v>
      </c>
      <c r="N44" s="315" t="s">
        <v>62</v>
      </c>
      <c r="O44" s="352" t="s">
        <v>40</v>
      </c>
      <c r="P44" s="352" t="s">
        <v>46</v>
      </c>
      <c r="Q44" s="834" t="s">
        <v>224</v>
      </c>
      <c r="R44" s="345" t="s">
        <v>100</v>
      </c>
      <c r="S44" s="346">
        <v>4</v>
      </c>
      <c r="T44" s="350">
        <v>120</v>
      </c>
      <c r="U44" s="350">
        <v>2</v>
      </c>
      <c r="V44" s="361" t="s">
        <v>65</v>
      </c>
      <c r="W44" s="320" t="s">
        <v>200</v>
      </c>
      <c r="X44" s="313" t="s">
        <v>101</v>
      </c>
      <c r="Y44" s="313" t="s">
        <v>102</v>
      </c>
      <c r="Z44" s="625"/>
      <c r="AA44" s="340"/>
      <c r="AB44" s="714" t="s">
        <v>40</v>
      </c>
      <c r="AC44" t="s">
        <v>53</v>
      </c>
      <c r="AD44" s="765" t="s">
        <v>164</v>
      </c>
    </row>
    <row r="45" spans="1:30" ht="15.6" customHeight="1">
      <c r="A45" s="73" t="s">
        <v>62</v>
      </c>
      <c r="B45" s="33" t="s">
        <v>62</v>
      </c>
      <c r="C45" s="33" t="s">
        <v>62</v>
      </c>
      <c r="D45" s="33"/>
      <c r="E45" s="33"/>
      <c r="F45" s="33" t="s">
        <v>62</v>
      </c>
      <c r="G45" s="33" t="s">
        <v>62</v>
      </c>
      <c r="H45" s="33" t="s">
        <v>62</v>
      </c>
      <c r="I45" s="1240"/>
      <c r="J45" s="267" t="s">
        <v>41</v>
      </c>
      <c r="K45" s="351" t="s">
        <v>225</v>
      </c>
      <c r="L45" s="363" t="s">
        <v>226</v>
      </c>
      <c r="M45" s="344" t="s">
        <v>227</v>
      </c>
      <c r="N45" s="315" t="s">
        <v>228</v>
      </c>
      <c r="O45" s="352" t="s">
        <v>40</v>
      </c>
      <c r="P45" s="352" t="s">
        <v>46</v>
      </c>
      <c r="Q45" s="351" t="s">
        <v>174</v>
      </c>
      <c r="R45" s="345" t="s">
        <v>100</v>
      </c>
      <c r="S45" s="346">
        <v>32</v>
      </c>
      <c r="T45" s="350">
        <v>1000</v>
      </c>
      <c r="U45" s="350">
        <v>8</v>
      </c>
      <c r="V45" s="361" t="s">
        <v>50</v>
      </c>
      <c r="W45" s="320" t="s">
        <v>51</v>
      </c>
      <c r="X45" s="317" t="s">
        <v>229</v>
      </c>
      <c r="Y45" s="317" t="s">
        <v>230</v>
      </c>
      <c r="Z45" s="625"/>
      <c r="AA45" s="340"/>
      <c r="AB45" s="714" t="s">
        <v>40</v>
      </c>
      <c r="AC45" t="s">
        <v>53</v>
      </c>
      <c r="AD45" s="765" t="s">
        <v>54</v>
      </c>
    </row>
    <row r="46" spans="1:30" ht="15.6" customHeight="1">
      <c r="A46" s="73"/>
      <c r="B46" s="33"/>
      <c r="C46" s="33"/>
      <c r="D46" s="33"/>
      <c r="E46" s="33"/>
      <c r="F46" s="33"/>
      <c r="G46" s="33"/>
      <c r="H46" s="33"/>
      <c r="I46" s="1240"/>
      <c r="J46" s="267" t="s">
        <v>41</v>
      </c>
      <c r="K46" s="351" t="s">
        <v>231</v>
      </c>
      <c r="L46" s="363" t="s">
        <v>232</v>
      </c>
      <c r="M46" s="417" t="s">
        <v>233</v>
      </c>
      <c r="N46" s="315" t="s">
        <v>234</v>
      </c>
      <c r="O46" s="352" t="s">
        <v>46</v>
      </c>
      <c r="P46" s="352" t="s">
        <v>40</v>
      </c>
      <c r="Q46" s="344" t="s">
        <v>235</v>
      </c>
      <c r="R46" s="345" t="s">
        <v>64</v>
      </c>
      <c r="S46" s="346">
        <v>6</v>
      </c>
      <c r="T46" s="350">
        <v>60</v>
      </c>
      <c r="U46" s="350">
        <v>2</v>
      </c>
      <c r="V46" s="361" t="s">
        <v>86</v>
      </c>
      <c r="W46" s="320" t="s">
        <v>648</v>
      </c>
      <c r="X46" s="313" t="s">
        <v>52</v>
      </c>
      <c r="Y46" s="313" t="s">
        <v>52</v>
      </c>
      <c r="Z46" s="625"/>
      <c r="AA46" s="340"/>
      <c r="AB46" s="714" t="s">
        <v>40</v>
      </c>
      <c r="AC46" t="s">
        <v>53</v>
      </c>
      <c r="AD46" s="765" t="s">
        <v>213</v>
      </c>
    </row>
    <row r="47" spans="1:30" s="109" customFormat="1" ht="32.25" customHeight="1">
      <c r="A47" s="303"/>
      <c r="B47" s="35"/>
      <c r="C47" s="35"/>
      <c r="D47" s="35"/>
      <c r="E47" s="35"/>
      <c r="F47" s="35"/>
      <c r="G47" s="35"/>
      <c r="H47" s="35"/>
      <c r="I47" s="1240"/>
      <c r="J47" s="267" t="s">
        <v>41</v>
      </c>
      <c r="K47" s="364" t="s">
        <v>236</v>
      </c>
      <c r="L47" s="363" t="s">
        <v>237</v>
      </c>
      <c r="M47" s="359" t="s">
        <v>238</v>
      </c>
      <c r="N47" s="1252"/>
      <c r="O47" s="352" t="s">
        <v>46</v>
      </c>
      <c r="P47" s="352" t="s">
        <v>40</v>
      </c>
      <c r="Q47" s="359" t="s">
        <v>239</v>
      </c>
      <c r="R47" s="358" t="s">
        <v>138</v>
      </c>
      <c r="S47" s="360">
        <v>4</v>
      </c>
      <c r="T47" s="352">
        <v>80</v>
      </c>
      <c r="U47" s="352">
        <v>2</v>
      </c>
      <c r="V47" s="361" t="s">
        <v>86</v>
      </c>
      <c r="W47" s="320" t="s">
        <v>51</v>
      </c>
      <c r="X47" s="320"/>
      <c r="Y47" s="320"/>
      <c r="Z47" s="624"/>
      <c r="AA47" s="532"/>
      <c r="AB47" s="715" t="s">
        <v>40</v>
      </c>
      <c r="AC47" s="109" t="s">
        <v>53</v>
      </c>
      <c r="AD47" s="765" t="s">
        <v>127</v>
      </c>
    </row>
    <row r="48" spans="1:30" s="109" customFormat="1" ht="31.35" customHeight="1">
      <c r="A48" s="303"/>
      <c r="B48" s="35"/>
      <c r="C48" s="35"/>
      <c r="D48" s="35"/>
      <c r="E48" s="35"/>
      <c r="F48" s="35"/>
      <c r="G48" s="35"/>
      <c r="H48" s="35"/>
      <c r="I48" s="1240"/>
      <c r="J48" s="267" t="s">
        <v>41</v>
      </c>
      <c r="K48" s="363" t="s">
        <v>649</v>
      </c>
      <c r="L48" s="363" t="s">
        <v>650</v>
      </c>
      <c r="M48" s="1253" t="s">
        <v>437</v>
      </c>
      <c r="N48" s="704"/>
      <c r="O48" s="352" t="s">
        <v>40</v>
      </c>
      <c r="P48" s="352" t="s">
        <v>46</v>
      </c>
      <c r="Q48" s="1254" t="s">
        <v>612</v>
      </c>
      <c r="R48" s="364" t="s">
        <v>651</v>
      </c>
      <c r="S48" s="320">
        <v>20</v>
      </c>
      <c r="T48" s="320">
        <v>300</v>
      </c>
      <c r="U48" s="320">
        <v>4</v>
      </c>
      <c r="V48" s="361" t="s">
        <v>50</v>
      </c>
      <c r="W48" s="320" t="s">
        <v>51</v>
      </c>
      <c r="X48" s="320"/>
      <c r="Y48" s="320"/>
      <c r="Z48" s="625"/>
      <c r="AA48" s="340"/>
      <c r="AB48" s="1255" t="s">
        <v>40</v>
      </c>
      <c r="AC48" s="109" t="s">
        <v>53</v>
      </c>
      <c r="AD48" s="765" t="s">
        <v>264</v>
      </c>
    </row>
    <row r="49" spans="1:30" ht="15.6" customHeight="1">
      <c r="A49" s="73"/>
      <c r="B49" s="33"/>
      <c r="C49" s="33"/>
      <c r="D49" s="33"/>
      <c r="E49" s="33"/>
      <c r="F49" s="33"/>
      <c r="G49" s="33"/>
      <c r="H49" s="33"/>
      <c r="I49" s="1240"/>
      <c r="J49" s="267" t="s">
        <v>41</v>
      </c>
      <c r="K49" s="351" t="s">
        <v>240</v>
      </c>
      <c r="L49" s="363" t="s">
        <v>241</v>
      </c>
      <c r="M49" s="656" t="s">
        <v>242</v>
      </c>
      <c r="N49" s="657"/>
      <c r="O49" s="352" t="s">
        <v>46</v>
      </c>
      <c r="P49" s="352" t="s">
        <v>40</v>
      </c>
      <c r="Q49" s="344" t="s">
        <v>286</v>
      </c>
      <c r="R49" s="345" t="s">
        <v>138</v>
      </c>
      <c r="S49" s="346">
        <v>32</v>
      </c>
      <c r="T49" s="350">
        <f>100+20</f>
        <v>120</v>
      </c>
      <c r="U49" s="350">
        <v>8</v>
      </c>
      <c r="V49" s="361" t="s">
        <v>86</v>
      </c>
      <c r="W49" s="320" t="s">
        <v>51</v>
      </c>
      <c r="X49" s="313"/>
      <c r="Y49" s="313"/>
      <c r="Z49" s="625"/>
      <c r="AA49" s="340"/>
      <c r="AB49" s="714" t="s">
        <v>40</v>
      </c>
      <c r="AC49" t="s">
        <v>53</v>
      </c>
      <c r="AD49" s="765" t="s">
        <v>117</v>
      </c>
    </row>
    <row r="50" spans="1:30" s="109" customFormat="1" ht="31.35" customHeight="1">
      <c r="A50" s="303"/>
      <c r="B50" s="35"/>
      <c r="C50" s="35"/>
      <c r="D50" s="35"/>
      <c r="E50" s="35"/>
      <c r="F50" s="35"/>
      <c r="G50" s="35"/>
      <c r="H50" s="35"/>
      <c r="I50" s="1240"/>
      <c r="J50" s="267" t="s">
        <v>41</v>
      </c>
      <c r="K50" s="359" t="s">
        <v>243</v>
      </c>
      <c r="L50" s="1256" t="s">
        <v>244</v>
      </c>
      <c r="M50" s="1251" t="s">
        <v>245</v>
      </c>
      <c r="N50" s="783"/>
      <c r="O50" s="352" t="s">
        <v>46</v>
      </c>
      <c r="P50" s="352" t="s">
        <v>40</v>
      </c>
      <c r="Q50" s="1257" t="s">
        <v>286</v>
      </c>
      <c r="R50" s="359" t="s">
        <v>116</v>
      </c>
      <c r="S50" s="360">
        <v>4</v>
      </c>
      <c r="T50" s="1258">
        <f>160+279.366+1000</f>
        <v>1439.366</v>
      </c>
      <c r="U50" s="352">
        <v>2</v>
      </c>
      <c r="V50" s="361" t="s">
        <v>65</v>
      </c>
      <c r="W50" s="320" t="s">
        <v>51</v>
      </c>
      <c r="X50" s="320"/>
      <c r="Y50" s="320"/>
      <c r="Z50" s="625"/>
      <c r="AA50" s="340"/>
      <c r="AB50" s="715" t="s">
        <v>40</v>
      </c>
      <c r="AC50" s="109" t="s">
        <v>53</v>
      </c>
      <c r="AD50" s="764" t="s">
        <v>246</v>
      </c>
    </row>
    <row r="51" spans="1:30" ht="15.6" customHeight="1">
      <c r="A51" s="73"/>
      <c r="B51" s="33"/>
      <c r="C51" s="33"/>
      <c r="D51" s="33"/>
      <c r="E51" s="33"/>
      <c r="F51" s="33"/>
      <c r="G51" s="33"/>
      <c r="H51" s="33"/>
      <c r="I51" s="1240"/>
      <c r="J51" s="267" t="s">
        <v>41</v>
      </c>
      <c r="K51" s="344" t="s">
        <v>247</v>
      </c>
      <c r="L51" s="358" t="s">
        <v>248</v>
      </c>
      <c r="M51" s="1259" t="s">
        <v>249</v>
      </c>
      <c r="N51" s="657"/>
      <c r="O51" s="352" t="s">
        <v>40</v>
      </c>
      <c r="P51" s="352" t="s">
        <v>46</v>
      </c>
      <c r="Q51" s="351" t="s">
        <v>174</v>
      </c>
      <c r="R51" s="344" t="s">
        <v>85</v>
      </c>
      <c r="S51" s="346">
        <v>8</v>
      </c>
      <c r="T51" s="350">
        <v>250</v>
      </c>
      <c r="U51" s="350">
        <v>4</v>
      </c>
      <c r="V51" s="361" t="s">
        <v>50</v>
      </c>
      <c r="W51" s="320" t="s">
        <v>200</v>
      </c>
      <c r="X51" s="313" t="s">
        <v>52</v>
      </c>
      <c r="Y51" s="313" t="s">
        <v>52</v>
      </c>
      <c r="Z51" s="625"/>
      <c r="AA51" s="340"/>
      <c r="AB51" s="714" t="s">
        <v>40</v>
      </c>
      <c r="AC51" t="s">
        <v>53</v>
      </c>
      <c r="AD51" s="764" t="s">
        <v>111</v>
      </c>
    </row>
    <row r="52" spans="1:30" ht="15.6" customHeight="1">
      <c r="A52" s="73" t="s">
        <v>62</v>
      </c>
      <c r="B52" s="33" t="s">
        <v>62</v>
      </c>
      <c r="C52" s="33" t="s">
        <v>62</v>
      </c>
      <c r="D52" s="33"/>
      <c r="E52" s="33"/>
      <c r="F52" s="33" t="s">
        <v>62</v>
      </c>
      <c r="G52" s="33" t="s">
        <v>62</v>
      </c>
      <c r="H52" s="33" t="s">
        <v>62</v>
      </c>
      <c r="I52" s="1240"/>
      <c r="J52" s="267" t="s">
        <v>41</v>
      </c>
      <c r="K52" s="351" t="s">
        <v>250</v>
      </c>
      <c r="L52" s="363" t="s">
        <v>251</v>
      </c>
      <c r="M52" s="344" t="s">
        <v>252</v>
      </c>
      <c r="N52" s="659" t="s">
        <v>253</v>
      </c>
      <c r="O52" s="352" t="s">
        <v>40</v>
      </c>
      <c r="P52" s="352" t="s">
        <v>46</v>
      </c>
      <c r="Q52" s="344" t="s">
        <v>99</v>
      </c>
      <c r="R52" s="345" t="s">
        <v>187</v>
      </c>
      <c r="S52" s="346">
        <v>30</v>
      </c>
      <c r="T52" s="350">
        <v>100</v>
      </c>
      <c r="U52" s="350">
        <v>8</v>
      </c>
      <c r="V52" s="361" t="s">
        <v>50</v>
      </c>
      <c r="W52" s="320" t="s">
        <v>51</v>
      </c>
      <c r="X52" s="313" t="s">
        <v>52</v>
      </c>
      <c r="Y52" s="313" t="s">
        <v>52</v>
      </c>
      <c r="Z52" s="625"/>
      <c r="AA52" s="340"/>
      <c r="AB52" s="714" t="s">
        <v>40</v>
      </c>
      <c r="AC52" t="s">
        <v>53</v>
      </c>
      <c r="AD52" s="765" t="s">
        <v>103</v>
      </c>
    </row>
    <row r="53" spans="1:30" s="516" customFormat="1" ht="24" customHeight="1">
      <c r="A53" s="507" t="s">
        <v>62</v>
      </c>
      <c r="B53" s="508" t="s">
        <v>62</v>
      </c>
      <c r="C53" s="508" t="s">
        <v>62</v>
      </c>
      <c r="D53" s="508"/>
      <c r="E53" s="508"/>
      <c r="F53" s="508" t="s">
        <v>62</v>
      </c>
      <c r="G53" s="508" t="s">
        <v>62</v>
      </c>
      <c r="H53" s="508" t="s">
        <v>62</v>
      </c>
      <c r="I53" s="1240"/>
      <c r="J53" s="509" t="s">
        <v>41</v>
      </c>
      <c r="K53" s="510" t="s">
        <v>652</v>
      </c>
      <c r="L53" s="590" t="s">
        <v>653</v>
      </c>
      <c r="M53" s="511" t="s">
        <v>654</v>
      </c>
      <c r="N53" s="658" t="s">
        <v>62</v>
      </c>
      <c r="O53" s="675" t="s">
        <v>46</v>
      </c>
      <c r="P53" s="676" t="s">
        <v>46</v>
      </c>
      <c r="Q53" s="511" t="s">
        <v>396</v>
      </c>
      <c r="R53" s="512" t="s">
        <v>187</v>
      </c>
      <c r="S53" s="513">
        <v>10</v>
      </c>
      <c r="T53" s="514">
        <v>150</v>
      </c>
      <c r="U53" s="514">
        <v>4</v>
      </c>
      <c r="V53" s="543" t="s">
        <v>65</v>
      </c>
      <c r="W53" s="551" t="s">
        <v>633</v>
      </c>
      <c r="X53" s="515" t="s">
        <v>52</v>
      </c>
      <c r="Y53" s="515" t="s">
        <v>52</v>
      </c>
      <c r="Z53" s="625"/>
      <c r="AA53" s="340"/>
      <c r="AB53" s="720" t="s">
        <v>40</v>
      </c>
      <c r="AC53" s="516" t="s">
        <v>219</v>
      </c>
      <c r="AD53" s="763"/>
    </row>
    <row r="54" spans="1:30" s="109" customFormat="1" ht="31.35" customHeight="1">
      <c r="A54" s="303" t="s">
        <v>62</v>
      </c>
      <c r="B54" s="35" t="s">
        <v>62</v>
      </c>
      <c r="C54" s="35" t="s">
        <v>62</v>
      </c>
      <c r="D54" s="35"/>
      <c r="E54" s="35"/>
      <c r="F54" s="35" t="s">
        <v>62</v>
      </c>
      <c r="G54" s="35" t="s">
        <v>62</v>
      </c>
      <c r="H54" s="35" t="s">
        <v>62</v>
      </c>
      <c r="I54" s="1240"/>
      <c r="J54" s="267" t="s">
        <v>41</v>
      </c>
      <c r="K54" s="359" t="s">
        <v>254</v>
      </c>
      <c r="L54" s="1256" t="s">
        <v>255</v>
      </c>
      <c r="M54" s="1260" t="s">
        <v>256</v>
      </c>
      <c r="N54" s="782" t="s">
        <v>62</v>
      </c>
      <c r="O54" s="352" t="s">
        <v>40</v>
      </c>
      <c r="P54" s="352" t="s">
        <v>46</v>
      </c>
      <c r="Q54" s="359" t="s">
        <v>257</v>
      </c>
      <c r="R54" s="359" t="s">
        <v>85</v>
      </c>
      <c r="S54" s="360">
        <v>12</v>
      </c>
      <c r="T54" s="352">
        <v>300</v>
      </c>
      <c r="U54" s="352">
        <v>6</v>
      </c>
      <c r="V54" s="361" t="s">
        <v>86</v>
      </c>
      <c r="W54" s="320" t="s">
        <v>51</v>
      </c>
      <c r="X54" s="320" t="s">
        <v>52</v>
      </c>
      <c r="Y54" s="320" t="s">
        <v>52</v>
      </c>
      <c r="Z54" s="625"/>
      <c r="AA54" s="340"/>
      <c r="AB54" s="715" t="s">
        <v>40</v>
      </c>
      <c r="AC54" s="109" t="s">
        <v>219</v>
      </c>
      <c r="AD54" s="764" t="s">
        <v>246</v>
      </c>
    </row>
    <row r="55" spans="1:30" ht="15.6" customHeight="1">
      <c r="A55" s="73" t="s">
        <v>62</v>
      </c>
      <c r="B55" s="33" t="s">
        <v>62</v>
      </c>
      <c r="C55" s="33" t="s">
        <v>62</v>
      </c>
      <c r="D55" s="33"/>
      <c r="E55" s="33"/>
      <c r="F55" s="33" t="s">
        <v>62</v>
      </c>
      <c r="G55" s="33" t="s">
        <v>62</v>
      </c>
      <c r="H55" s="33" t="s">
        <v>62</v>
      </c>
      <c r="I55" s="1240"/>
      <c r="J55" s="267" t="s">
        <v>41</v>
      </c>
      <c r="K55" s="351" t="s">
        <v>258</v>
      </c>
      <c r="L55" s="363" t="s">
        <v>259</v>
      </c>
      <c r="M55" s="344" t="s">
        <v>260</v>
      </c>
      <c r="N55" s="659" t="s">
        <v>62</v>
      </c>
      <c r="O55" s="352" t="s">
        <v>40</v>
      </c>
      <c r="P55" s="352" t="s">
        <v>46</v>
      </c>
      <c r="Q55" s="344" t="s">
        <v>99</v>
      </c>
      <c r="R55" s="345" t="s">
        <v>187</v>
      </c>
      <c r="S55" s="346">
        <v>12</v>
      </c>
      <c r="T55" s="350">
        <v>120</v>
      </c>
      <c r="U55" s="350">
        <v>4</v>
      </c>
      <c r="V55" s="361" t="s">
        <v>50</v>
      </c>
      <c r="W55" s="320" t="s">
        <v>51</v>
      </c>
      <c r="X55" s="313" t="s">
        <v>52</v>
      </c>
      <c r="Y55" s="313" t="s">
        <v>52</v>
      </c>
      <c r="Z55" s="625"/>
      <c r="AA55" s="340"/>
      <c r="AB55" s="714" t="s">
        <v>40</v>
      </c>
      <c r="AC55" t="s">
        <v>53</v>
      </c>
      <c r="AD55" s="765" t="s">
        <v>103</v>
      </c>
    </row>
    <row r="56" spans="1:30" ht="15.6" customHeight="1">
      <c r="A56" s="73" t="s">
        <v>62</v>
      </c>
      <c r="B56" s="33" t="s">
        <v>62</v>
      </c>
      <c r="C56" s="33" t="s">
        <v>62</v>
      </c>
      <c r="D56" s="33"/>
      <c r="E56" s="33"/>
      <c r="F56" s="33" t="s">
        <v>62</v>
      </c>
      <c r="G56" s="33" t="s">
        <v>62</v>
      </c>
      <c r="H56" s="33" t="s">
        <v>62</v>
      </c>
      <c r="I56" s="1240"/>
      <c r="J56" s="267" t="s">
        <v>41</v>
      </c>
      <c r="K56" s="351" t="s">
        <v>261</v>
      </c>
      <c r="L56" s="363" t="s">
        <v>262</v>
      </c>
      <c r="M56" s="344" t="s">
        <v>263</v>
      </c>
      <c r="N56" s="659" t="s">
        <v>62</v>
      </c>
      <c r="O56" s="352" t="s">
        <v>46</v>
      </c>
      <c r="P56" s="352" t="s">
        <v>40</v>
      </c>
      <c r="Q56" s="344" t="s">
        <v>99</v>
      </c>
      <c r="R56" s="345" t="s">
        <v>116</v>
      </c>
      <c r="S56" s="346">
        <v>14</v>
      </c>
      <c r="T56" s="350">
        <v>150</v>
      </c>
      <c r="U56" s="350">
        <v>4</v>
      </c>
      <c r="V56" s="361" t="s">
        <v>50</v>
      </c>
      <c r="W56" s="320" t="s">
        <v>51</v>
      </c>
      <c r="X56" s="313" t="s">
        <v>52</v>
      </c>
      <c r="Y56" s="313" t="s">
        <v>52</v>
      </c>
      <c r="Z56" s="625"/>
      <c r="AA56" s="340"/>
      <c r="AB56" s="714" t="s">
        <v>40</v>
      </c>
      <c r="AC56" t="s">
        <v>53</v>
      </c>
      <c r="AD56" s="765" t="s">
        <v>264</v>
      </c>
    </row>
    <row r="57" spans="1:30" ht="39.75" customHeight="1">
      <c r="A57" s="73" t="s">
        <v>62</v>
      </c>
      <c r="B57" s="33" t="s">
        <v>62</v>
      </c>
      <c r="C57" s="33" t="s">
        <v>62</v>
      </c>
      <c r="D57" s="33"/>
      <c r="E57" s="33"/>
      <c r="F57" s="33" t="s">
        <v>62</v>
      </c>
      <c r="G57" s="33" t="s">
        <v>62</v>
      </c>
      <c r="H57" s="33" t="s">
        <v>62</v>
      </c>
      <c r="I57" s="1240"/>
      <c r="J57" s="267" t="s">
        <v>41</v>
      </c>
      <c r="K57" s="351" t="s">
        <v>265</v>
      </c>
      <c r="L57" s="363" t="s">
        <v>266</v>
      </c>
      <c r="M57" s="344" t="s">
        <v>267</v>
      </c>
      <c r="N57" s="659" t="s">
        <v>268</v>
      </c>
      <c r="O57" s="352" t="s">
        <v>46</v>
      </c>
      <c r="P57" s="352" t="s">
        <v>40</v>
      </c>
      <c r="Q57" s="344" t="s">
        <v>99</v>
      </c>
      <c r="R57" s="345" t="s">
        <v>116</v>
      </c>
      <c r="S57" s="346">
        <v>12</v>
      </c>
      <c r="T57" s="350">
        <v>300</v>
      </c>
      <c r="U57" s="350">
        <v>6</v>
      </c>
      <c r="V57" s="361" t="s">
        <v>50</v>
      </c>
      <c r="W57" s="600" t="s">
        <v>51</v>
      </c>
      <c r="X57" s="313" t="s">
        <v>52</v>
      </c>
      <c r="Y57" s="313" t="s">
        <v>52</v>
      </c>
      <c r="Z57" s="625"/>
      <c r="AA57" s="340"/>
      <c r="AB57" s="714" t="s">
        <v>40</v>
      </c>
      <c r="AC57" t="s">
        <v>53</v>
      </c>
      <c r="AD57" s="765" t="s">
        <v>117</v>
      </c>
    </row>
    <row r="58" spans="1:30" ht="203.1" customHeight="1">
      <c r="A58" s="73"/>
      <c r="B58" s="33"/>
      <c r="C58" s="33"/>
      <c r="D58" s="33"/>
      <c r="E58" s="33"/>
      <c r="F58" s="33"/>
      <c r="G58" s="33"/>
      <c r="H58" s="33"/>
      <c r="I58" s="1240"/>
      <c r="J58" s="267" t="s">
        <v>41</v>
      </c>
      <c r="K58" s="363" t="s">
        <v>269</v>
      </c>
      <c r="L58" s="364" t="s">
        <v>655</v>
      </c>
      <c r="M58" s="363" t="s">
        <v>271</v>
      </c>
      <c r="N58" s="379" t="s">
        <v>62</v>
      </c>
      <c r="O58" s="1241" t="s">
        <v>40</v>
      </c>
      <c r="P58" s="1241" t="s">
        <v>46</v>
      </c>
      <c r="Q58" s="344" t="s">
        <v>99</v>
      </c>
      <c r="R58" s="363" t="s">
        <v>272</v>
      </c>
      <c r="S58" s="320">
        <v>8</v>
      </c>
      <c r="T58" s="320">
        <f>240+120</f>
        <v>360</v>
      </c>
      <c r="U58" s="320">
        <v>4</v>
      </c>
      <c r="V58" s="320" t="s">
        <v>65</v>
      </c>
      <c r="W58" s="320" t="s">
        <v>200</v>
      </c>
      <c r="X58" s="320" t="s">
        <v>52</v>
      </c>
      <c r="Y58" s="320" t="s">
        <v>52</v>
      </c>
      <c r="Z58" s="625"/>
      <c r="AA58" s="340"/>
      <c r="AB58" s="715" t="s">
        <v>40</v>
      </c>
      <c r="AC58" t="s">
        <v>53</v>
      </c>
      <c r="AD58" s="765" t="s">
        <v>103</v>
      </c>
    </row>
    <row r="59" spans="1:30" s="109" customFormat="1" ht="31.35" customHeight="1">
      <c r="A59" s="303" t="s">
        <v>62</v>
      </c>
      <c r="B59" s="35" t="s">
        <v>62</v>
      </c>
      <c r="C59" s="35" t="s">
        <v>62</v>
      </c>
      <c r="D59" s="35"/>
      <c r="E59" s="35"/>
      <c r="F59" s="35" t="s">
        <v>62</v>
      </c>
      <c r="G59" s="35" t="s">
        <v>62</v>
      </c>
      <c r="H59" s="35" t="s">
        <v>62</v>
      </c>
      <c r="I59" s="1240"/>
      <c r="J59" s="267" t="s">
        <v>41</v>
      </c>
      <c r="K59" s="359" t="s">
        <v>273</v>
      </c>
      <c r="L59" s="1256" t="s">
        <v>656</v>
      </c>
      <c r="M59" s="358" t="s">
        <v>657</v>
      </c>
      <c r="N59" s="782"/>
      <c r="O59" s="1241" t="s">
        <v>40</v>
      </c>
      <c r="P59" s="1241" t="s">
        <v>46</v>
      </c>
      <c r="Q59" s="344" t="s">
        <v>99</v>
      </c>
      <c r="R59" s="359" t="s">
        <v>85</v>
      </c>
      <c r="S59" s="360">
        <v>8</v>
      </c>
      <c r="T59" s="352">
        <v>200</v>
      </c>
      <c r="U59" s="352">
        <v>4</v>
      </c>
      <c r="V59" s="361" t="s">
        <v>50</v>
      </c>
      <c r="W59" s="320" t="s">
        <v>51</v>
      </c>
      <c r="X59" s="320" t="s">
        <v>52</v>
      </c>
      <c r="Y59" s="320" t="s">
        <v>52</v>
      </c>
      <c r="Z59" s="625"/>
      <c r="AA59" s="340"/>
      <c r="AB59" s="715" t="s">
        <v>40</v>
      </c>
      <c r="AC59" s="109" t="s">
        <v>53</v>
      </c>
      <c r="AD59" s="765" t="s">
        <v>87</v>
      </c>
    </row>
    <row r="60" spans="1:30" ht="15.6" customHeight="1">
      <c r="A60" s="73" t="s">
        <v>62</v>
      </c>
      <c r="B60" s="33" t="s">
        <v>62</v>
      </c>
      <c r="C60" s="33" t="s">
        <v>62</v>
      </c>
      <c r="D60" s="33"/>
      <c r="E60" s="33"/>
      <c r="F60" s="33" t="s">
        <v>62</v>
      </c>
      <c r="G60" s="33" t="s">
        <v>62</v>
      </c>
      <c r="H60" s="33" t="s">
        <v>62</v>
      </c>
      <c r="I60" s="1240"/>
      <c r="J60" s="267" t="s">
        <v>41</v>
      </c>
      <c r="K60" s="351" t="s">
        <v>276</v>
      </c>
      <c r="L60" s="363" t="s">
        <v>277</v>
      </c>
      <c r="M60" s="344" t="s">
        <v>278</v>
      </c>
      <c r="N60" s="315" t="s">
        <v>62</v>
      </c>
      <c r="O60" s="677" t="s">
        <v>46</v>
      </c>
      <c r="P60" s="677" t="s">
        <v>40</v>
      </c>
      <c r="Q60" s="351" t="s">
        <v>174</v>
      </c>
      <c r="R60" s="345" t="s">
        <v>168</v>
      </c>
      <c r="S60" s="346">
        <v>4</v>
      </c>
      <c r="T60" s="350">
        <v>300</v>
      </c>
      <c r="U60" s="350">
        <v>2</v>
      </c>
      <c r="V60" s="361" t="s">
        <v>50</v>
      </c>
      <c r="W60" s="319" t="s">
        <v>51</v>
      </c>
      <c r="X60" s="313" t="s">
        <v>181</v>
      </c>
      <c r="Y60" s="313" t="s">
        <v>279</v>
      </c>
      <c r="Z60" s="625"/>
      <c r="AA60" s="340"/>
      <c r="AB60" s="714" t="s">
        <v>40</v>
      </c>
      <c r="AC60" t="s">
        <v>53</v>
      </c>
      <c r="AD60" s="765" t="s">
        <v>264</v>
      </c>
    </row>
    <row r="61" spans="1:30" ht="15.6" customHeight="1">
      <c r="A61" s="73"/>
      <c r="B61" s="33"/>
      <c r="C61" s="33"/>
      <c r="D61" s="33"/>
      <c r="E61" s="33"/>
      <c r="F61" s="33"/>
      <c r="G61" s="33"/>
      <c r="H61" s="33"/>
      <c r="I61" s="1240"/>
      <c r="J61" s="267" t="s">
        <v>41</v>
      </c>
      <c r="K61" s="416" t="s">
        <v>658</v>
      </c>
      <c r="L61" s="379" t="s">
        <v>659</v>
      </c>
      <c r="M61" s="351" t="s">
        <v>660</v>
      </c>
      <c r="N61" s="310" t="s">
        <v>62</v>
      </c>
      <c r="O61" s="1241" t="s">
        <v>40</v>
      </c>
      <c r="P61" s="1241" t="s">
        <v>46</v>
      </c>
      <c r="Q61" s="1254" t="s">
        <v>612</v>
      </c>
      <c r="R61" s="351" t="s">
        <v>661</v>
      </c>
      <c r="S61" s="313">
        <v>32</v>
      </c>
      <c r="T61" s="320">
        <f>100+1000</f>
        <v>1100</v>
      </c>
      <c r="U61" s="313">
        <v>8</v>
      </c>
      <c r="V61" s="562" t="s">
        <v>50</v>
      </c>
      <c r="W61" s="320" t="s">
        <v>51</v>
      </c>
      <c r="X61" s="463" t="s">
        <v>206</v>
      </c>
      <c r="Y61" s="313" t="s">
        <v>207</v>
      </c>
      <c r="Z61" s="625"/>
      <c r="AA61" s="340"/>
      <c r="AB61" s="714"/>
    </row>
    <row r="62" spans="1:30" s="109" customFormat="1" ht="125.1" customHeight="1">
      <c r="A62" s="303" t="s">
        <v>62</v>
      </c>
      <c r="B62" s="35" t="s">
        <v>62</v>
      </c>
      <c r="C62" s="35" t="s">
        <v>62</v>
      </c>
      <c r="D62" s="35"/>
      <c r="E62" s="35"/>
      <c r="F62" s="35" t="s">
        <v>62</v>
      </c>
      <c r="G62" s="35" t="s">
        <v>62</v>
      </c>
      <c r="H62" s="35" t="s">
        <v>62</v>
      </c>
      <c r="I62" s="1240"/>
      <c r="J62" s="267" t="s">
        <v>41</v>
      </c>
      <c r="K62" s="363" t="s">
        <v>280</v>
      </c>
      <c r="L62" s="364" t="s">
        <v>281</v>
      </c>
      <c r="M62" s="359" t="s">
        <v>282</v>
      </c>
      <c r="N62" s="318" t="s">
        <v>62</v>
      </c>
      <c r="O62" s="1241" t="s">
        <v>40</v>
      </c>
      <c r="P62" s="1241" t="s">
        <v>46</v>
      </c>
      <c r="Q62" s="344" t="s">
        <v>99</v>
      </c>
      <c r="R62" s="358" t="s">
        <v>85</v>
      </c>
      <c r="S62" s="360">
        <v>24</v>
      </c>
      <c r="T62" s="352">
        <v>200</v>
      </c>
      <c r="U62" s="352">
        <v>8</v>
      </c>
      <c r="V62" s="361" t="s">
        <v>50</v>
      </c>
      <c r="W62" s="320" t="s">
        <v>51</v>
      </c>
      <c r="X62" s="464" t="s">
        <v>52</v>
      </c>
      <c r="Y62" s="320" t="s">
        <v>52</v>
      </c>
      <c r="Z62" s="625"/>
      <c r="AA62" s="340"/>
      <c r="AB62" s="715" t="s">
        <v>40</v>
      </c>
      <c r="AC62" s="109" t="s">
        <v>53</v>
      </c>
      <c r="AD62" s="765" t="s">
        <v>264</v>
      </c>
    </row>
    <row r="63" spans="1:30" ht="15.6" customHeight="1">
      <c r="A63" s="73" t="s">
        <v>62</v>
      </c>
      <c r="B63" s="33" t="s">
        <v>62</v>
      </c>
      <c r="C63" s="33" t="s">
        <v>62</v>
      </c>
      <c r="D63" s="33"/>
      <c r="E63" s="33"/>
      <c r="F63" s="33" t="s">
        <v>62</v>
      </c>
      <c r="G63" s="33" t="s">
        <v>62</v>
      </c>
      <c r="H63" s="33" t="s">
        <v>62</v>
      </c>
      <c r="I63" s="1240"/>
      <c r="J63" s="267" t="s">
        <v>41</v>
      </c>
      <c r="K63" s="351" t="s">
        <v>283</v>
      </c>
      <c r="L63" s="363" t="s">
        <v>284</v>
      </c>
      <c r="M63" s="344" t="s">
        <v>285</v>
      </c>
      <c r="N63" s="315" t="s">
        <v>62</v>
      </c>
      <c r="O63" s="677" t="s">
        <v>46</v>
      </c>
      <c r="P63" s="677" t="s">
        <v>46</v>
      </c>
      <c r="Q63" s="344" t="s">
        <v>286</v>
      </c>
      <c r="R63" s="345" t="s">
        <v>287</v>
      </c>
      <c r="S63" s="346">
        <v>8</v>
      </c>
      <c r="T63" s="350">
        <v>70</v>
      </c>
      <c r="U63" s="350">
        <v>2</v>
      </c>
      <c r="V63" s="361" t="s">
        <v>50</v>
      </c>
      <c r="W63" s="320" t="s">
        <v>51</v>
      </c>
      <c r="X63" s="463" t="s">
        <v>52</v>
      </c>
      <c r="Y63" s="313" t="s">
        <v>52</v>
      </c>
      <c r="Z63" s="625"/>
      <c r="AA63" s="340"/>
      <c r="AB63" s="714" t="s">
        <v>40</v>
      </c>
      <c r="AC63" t="s">
        <v>53</v>
      </c>
      <c r="AD63" s="765" t="s">
        <v>213</v>
      </c>
    </row>
    <row r="64" spans="1:30" ht="15.6" customHeight="1">
      <c r="A64" s="73"/>
      <c r="B64" s="33"/>
      <c r="C64" s="33"/>
      <c r="D64" s="33"/>
      <c r="E64" s="33"/>
      <c r="F64" s="33"/>
      <c r="G64" s="33"/>
      <c r="H64" s="33"/>
      <c r="I64" s="1240"/>
      <c r="J64" s="267" t="s">
        <v>41</v>
      </c>
      <c r="K64" s="351" t="s">
        <v>288</v>
      </c>
      <c r="L64" s="379" t="s">
        <v>289</v>
      </c>
      <c r="M64" s="351" t="s">
        <v>662</v>
      </c>
      <c r="N64" s="310"/>
      <c r="O64" s="1241" t="s">
        <v>40</v>
      </c>
      <c r="P64" s="1241" t="s">
        <v>46</v>
      </c>
      <c r="Q64" s="351" t="s">
        <v>291</v>
      </c>
      <c r="R64" s="351" t="s">
        <v>292</v>
      </c>
      <c r="S64" s="313">
        <v>16</v>
      </c>
      <c r="T64" s="313">
        <v>100</v>
      </c>
      <c r="U64" s="313">
        <v>4</v>
      </c>
      <c r="V64" s="562" t="s">
        <v>50</v>
      </c>
      <c r="W64" s="320" t="s">
        <v>51</v>
      </c>
      <c r="X64" s="463" t="s">
        <v>52</v>
      </c>
      <c r="Y64" s="313" t="s">
        <v>52</v>
      </c>
      <c r="Z64" s="625"/>
      <c r="AA64" s="340"/>
      <c r="AB64" s="714" t="s">
        <v>40</v>
      </c>
      <c r="AD64" s="765" t="s">
        <v>213</v>
      </c>
    </row>
    <row r="65" spans="1:30" ht="15.6" customHeight="1">
      <c r="A65" s="73"/>
      <c r="B65" s="33"/>
      <c r="C65" s="33"/>
      <c r="D65" s="33"/>
      <c r="E65" s="33"/>
      <c r="F65" s="33"/>
      <c r="G65" s="33"/>
      <c r="H65" s="33"/>
      <c r="I65" s="1240"/>
      <c r="J65" s="370" t="s">
        <v>41</v>
      </c>
      <c r="K65" s="351" t="s">
        <v>293</v>
      </c>
      <c r="L65" s="363" t="s">
        <v>294</v>
      </c>
      <c r="M65" s="351" t="s">
        <v>295</v>
      </c>
      <c r="N65" s="310"/>
      <c r="O65" s="1241" t="s">
        <v>40</v>
      </c>
      <c r="P65" s="1241" t="s">
        <v>46</v>
      </c>
      <c r="Q65" s="351" t="s">
        <v>296</v>
      </c>
      <c r="R65" s="351" t="s">
        <v>297</v>
      </c>
      <c r="S65" s="313">
        <v>16</v>
      </c>
      <c r="T65" s="313">
        <v>500</v>
      </c>
      <c r="U65" s="313">
        <v>4</v>
      </c>
      <c r="V65" s="562" t="s">
        <v>50</v>
      </c>
      <c r="W65" s="320" t="s">
        <v>51</v>
      </c>
      <c r="X65" s="464"/>
      <c r="Y65" s="320"/>
      <c r="Z65" s="625"/>
      <c r="AA65" s="340"/>
      <c r="AB65" s="714" t="s">
        <v>40</v>
      </c>
      <c r="AC65" t="s">
        <v>53</v>
      </c>
      <c r="AD65" s="765" t="s">
        <v>213</v>
      </c>
    </row>
    <row r="66" spans="1:30" ht="15.6" customHeight="1">
      <c r="A66" s="73" t="s">
        <v>62</v>
      </c>
      <c r="B66" s="33" t="s">
        <v>62</v>
      </c>
      <c r="C66" s="33" t="s">
        <v>62</v>
      </c>
      <c r="D66" s="33"/>
      <c r="E66" s="33"/>
      <c r="F66" s="33" t="s">
        <v>62</v>
      </c>
      <c r="G66" s="33" t="s">
        <v>62</v>
      </c>
      <c r="H66" s="33" t="s">
        <v>62</v>
      </c>
      <c r="I66" s="1240"/>
      <c r="J66" s="267" t="s">
        <v>41</v>
      </c>
      <c r="K66" s="351" t="s">
        <v>298</v>
      </c>
      <c r="L66" s="363" t="s">
        <v>299</v>
      </c>
      <c r="M66" s="344" t="s">
        <v>300</v>
      </c>
      <c r="N66" s="315" t="s">
        <v>62</v>
      </c>
      <c r="O66" s="1241" t="s">
        <v>40</v>
      </c>
      <c r="P66" s="1241" t="s">
        <v>46</v>
      </c>
      <c r="Q66" s="344" t="s">
        <v>99</v>
      </c>
      <c r="R66" s="345" t="s">
        <v>187</v>
      </c>
      <c r="S66" s="346">
        <v>48</v>
      </c>
      <c r="T66" s="350">
        <f>100+100</f>
        <v>200</v>
      </c>
      <c r="U66" s="350">
        <v>2</v>
      </c>
      <c r="V66" s="361" t="s">
        <v>50</v>
      </c>
      <c r="W66" s="600" t="s">
        <v>200</v>
      </c>
      <c r="X66" s="463" t="s">
        <v>52</v>
      </c>
      <c r="Y66" s="313" t="s">
        <v>52</v>
      </c>
      <c r="Z66" s="625"/>
      <c r="AA66" s="340"/>
      <c r="AB66" s="714" t="s">
        <v>40</v>
      </c>
      <c r="AC66" t="s">
        <v>53</v>
      </c>
      <c r="AD66" s="765" t="s">
        <v>164</v>
      </c>
    </row>
    <row r="67" spans="1:30" ht="15.6" customHeight="1">
      <c r="A67" s="73" t="s">
        <v>62</v>
      </c>
      <c r="B67" s="33" t="s">
        <v>62</v>
      </c>
      <c r="C67" s="33" t="s">
        <v>62</v>
      </c>
      <c r="D67" s="33"/>
      <c r="E67" s="33"/>
      <c r="F67" s="33" t="s">
        <v>62</v>
      </c>
      <c r="G67" s="33" t="s">
        <v>62</v>
      </c>
      <c r="H67" s="33" t="s">
        <v>62</v>
      </c>
      <c r="I67" s="1240"/>
      <c r="J67" s="267" t="s">
        <v>41</v>
      </c>
      <c r="K67" s="344" t="s">
        <v>301</v>
      </c>
      <c r="L67" s="358" t="s">
        <v>302</v>
      </c>
      <c r="M67" s="345" t="s">
        <v>303</v>
      </c>
      <c r="N67" s="315" t="s">
        <v>304</v>
      </c>
      <c r="O67" s="1241" t="s">
        <v>40</v>
      </c>
      <c r="P67" s="1241" t="s">
        <v>46</v>
      </c>
      <c r="Q67" s="351" t="s">
        <v>174</v>
      </c>
      <c r="R67" s="344" t="s">
        <v>187</v>
      </c>
      <c r="S67" s="346">
        <v>16</v>
      </c>
      <c r="T67" s="350">
        <v>300</v>
      </c>
      <c r="U67" s="350">
        <v>2</v>
      </c>
      <c r="V67" s="361" t="s">
        <v>65</v>
      </c>
      <c r="W67" s="320" t="s">
        <v>200</v>
      </c>
      <c r="X67" s="463" t="s">
        <v>206</v>
      </c>
      <c r="Y67" s="313" t="s">
        <v>207</v>
      </c>
      <c r="Z67" s="625"/>
      <c r="AA67" s="340"/>
      <c r="AB67" s="714" t="s">
        <v>40</v>
      </c>
      <c r="AC67" t="s">
        <v>53</v>
      </c>
      <c r="AD67" s="765" t="s">
        <v>103</v>
      </c>
    </row>
    <row r="68" spans="1:30" s="109" customFormat="1" ht="31.35" customHeight="1">
      <c r="A68" s="303"/>
      <c r="B68" s="35"/>
      <c r="C68" s="35"/>
      <c r="D68" s="35"/>
      <c r="E68" s="35"/>
      <c r="F68" s="35"/>
      <c r="G68" s="35"/>
      <c r="H68" s="35"/>
      <c r="I68" s="1240"/>
      <c r="J68" s="267" t="s">
        <v>41</v>
      </c>
      <c r="K68" s="364" t="s">
        <v>306</v>
      </c>
      <c r="L68" s="364" t="s">
        <v>307</v>
      </c>
      <c r="M68" s="359" t="s">
        <v>308</v>
      </c>
      <c r="N68" s="318"/>
      <c r="O68" s="677" t="s">
        <v>46</v>
      </c>
      <c r="P68" s="677" t="s">
        <v>40</v>
      </c>
      <c r="Q68" s="359" t="s">
        <v>286</v>
      </c>
      <c r="R68" s="358" t="s">
        <v>163</v>
      </c>
      <c r="S68" s="360">
        <v>8</v>
      </c>
      <c r="T68" s="352">
        <v>80</v>
      </c>
      <c r="U68" s="352">
        <v>8</v>
      </c>
      <c r="V68" s="361" t="s">
        <v>50</v>
      </c>
      <c r="W68" s="320" t="s">
        <v>51</v>
      </c>
      <c r="X68" s="464" t="s">
        <v>52</v>
      </c>
      <c r="Y68" s="320" t="s">
        <v>52</v>
      </c>
      <c r="Z68" s="625"/>
      <c r="AA68" s="340"/>
      <c r="AB68" s="715" t="s">
        <v>40</v>
      </c>
      <c r="AC68" s="109" t="s">
        <v>53</v>
      </c>
      <c r="AD68" s="765" t="s">
        <v>127</v>
      </c>
    </row>
    <row r="69" spans="1:30" s="109" customFormat="1" ht="36" customHeight="1">
      <c r="A69" s="303" t="s">
        <v>62</v>
      </c>
      <c r="B69" s="35" t="s">
        <v>62</v>
      </c>
      <c r="C69" s="35" t="s">
        <v>62</v>
      </c>
      <c r="D69" s="35"/>
      <c r="E69" s="35"/>
      <c r="F69" s="35" t="s">
        <v>62</v>
      </c>
      <c r="G69" s="35" t="s">
        <v>62</v>
      </c>
      <c r="H69" s="35" t="s">
        <v>62</v>
      </c>
      <c r="I69" s="1240"/>
      <c r="J69" s="267" t="s">
        <v>41</v>
      </c>
      <c r="K69" s="363" t="s">
        <v>309</v>
      </c>
      <c r="L69" s="363" t="s">
        <v>310</v>
      </c>
      <c r="M69" s="359" t="s">
        <v>311</v>
      </c>
      <c r="N69" s="318" t="s">
        <v>62</v>
      </c>
      <c r="O69" s="1241" t="s">
        <v>40</v>
      </c>
      <c r="P69" s="1241" t="s">
        <v>46</v>
      </c>
      <c r="Q69" s="344" t="s">
        <v>99</v>
      </c>
      <c r="R69" s="358" t="s">
        <v>187</v>
      </c>
      <c r="S69" s="360">
        <v>48</v>
      </c>
      <c r="T69" s="352">
        <v>120</v>
      </c>
      <c r="U69" s="352">
        <v>2</v>
      </c>
      <c r="V69" s="361" t="s">
        <v>65</v>
      </c>
      <c r="W69" s="320" t="s">
        <v>200</v>
      </c>
      <c r="X69" s="464" t="s">
        <v>52</v>
      </c>
      <c r="Y69" s="320" t="s">
        <v>52</v>
      </c>
      <c r="Z69" s="625"/>
      <c r="AA69" s="532"/>
      <c r="AB69" s="715" t="s">
        <v>40</v>
      </c>
      <c r="AC69" s="109" t="s">
        <v>53</v>
      </c>
      <c r="AD69" s="765" t="s">
        <v>164</v>
      </c>
    </row>
    <row r="70" spans="1:30" s="109" customFormat="1" ht="78" customHeight="1">
      <c r="A70" s="303"/>
      <c r="B70" s="35"/>
      <c r="C70" s="35"/>
      <c r="D70" s="35"/>
      <c r="E70" s="35"/>
      <c r="F70" s="35"/>
      <c r="G70" s="35"/>
      <c r="H70" s="35"/>
      <c r="I70" s="1240"/>
      <c r="J70" s="267" t="s">
        <v>41</v>
      </c>
      <c r="K70" s="363" t="s">
        <v>312</v>
      </c>
      <c r="L70" s="364" t="s">
        <v>313</v>
      </c>
      <c r="M70" s="363" t="s">
        <v>314</v>
      </c>
      <c r="N70" s="363" t="s">
        <v>315</v>
      </c>
      <c r="O70" s="1241" t="s">
        <v>40</v>
      </c>
      <c r="P70" s="1241" t="s">
        <v>46</v>
      </c>
      <c r="Q70" s="363" t="s">
        <v>316</v>
      </c>
      <c r="R70" s="363" t="s">
        <v>317</v>
      </c>
      <c r="S70" s="320">
        <v>196</v>
      </c>
      <c r="T70" s="320">
        <f>279.37+1000</f>
        <v>1279.3699999999999</v>
      </c>
      <c r="U70" s="320">
        <v>24</v>
      </c>
      <c r="V70" s="562" t="s">
        <v>50</v>
      </c>
      <c r="W70" s="320" t="s">
        <v>51</v>
      </c>
      <c r="X70" s="464" t="s">
        <v>52</v>
      </c>
      <c r="Y70" s="320" t="s">
        <v>52</v>
      </c>
      <c r="Z70" s="625"/>
      <c r="AA70" s="340"/>
      <c r="AB70" s="715" t="s">
        <v>40</v>
      </c>
      <c r="AC70" s="109" t="s">
        <v>53</v>
      </c>
      <c r="AD70" s="764" t="s">
        <v>318</v>
      </c>
    </row>
    <row r="71" spans="1:30" ht="15.6" customHeight="1">
      <c r="A71" s="73" t="s">
        <v>62</v>
      </c>
      <c r="B71" s="33" t="s">
        <v>62</v>
      </c>
      <c r="C71" s="33" t="s">
        <v>62</v>
      </c>
      <c r="D71" s="33"/>
      <c r="E71" s="33"/>
      <c r="F71" s="33" t="s">
        <v>62</v>
      </c>
      <c r="G71" s="33" t="s">
        <v>62</v>
      </c>
      <c r="H71" s="33" t="s">
        <v>62</v>
      </c>
      <c r="I71" s="1240"/>
      <c r="J71" s="267" t="s">
        <v>41</v>
      </c>
      <c r="K71" s="344" t="s">
        <v>319</v>
      </c>
      <c r="L71" s="358" t="s">
        <v>320</v>
      </c>
      <c r="M71" s="345" t="s">
        <v>321</v>
      </c>
      <c r="N71" s="315" t="s">
        <v>62</v>
      </c>
      <c r="O71" s="1241" t="s">
        <v>40</v>
      </c>
      <c r="P71" s="1241" t="s">
        <v>46</v>
      </c>
      <c r="Q71" s="344" t="s">
        <v>99</v>
      </c>
      <c r="R71" s="344" t="s">
        <v>100</v>
      </c>
      <c r="S71" s="346">
        <v>12</v>
      </c>
      <c r="T71" s="350">
        <f>250+50</f>
        <v>300</v>
      </c>
      <c r="U71" s="350">
        <v>6</v>
      </c>
      <c r="V71" s="361" t="s">
        <v>50</v>
      </c>
      <c r="W71" s="320" t="s">
        <v>51</v>
      </c>
      <c r="X71" s="463" t="s">
        <v>52</v>
      </c>
      <c r="Y71" s="313" t="s">
        <v>52</v>
      </c>
      <c r="Z71" s="625"/>
      <c r="AA71" s="340"/>
      <c r="AB71" s="714" t="s">
        <v>40</v>
      </c>
      <c r="AC71" t="s">
        <v>53</v>
      </c>
      <c r="AD71" s="765" t="s">
        <v>164</v>
      </c>
    </row>
    <row r="72" spans="1:30" ht="15.6" customHeight="1">
      <c r="A72" s="73" t="s">
        <v>62</v>
      </c>
      <c r="B72" s="33" t="s">
        <v>62</v>
      </c>
      <c r="C72" s="33" t="s">
        <v>62</v>
      </c>
      <c r="D72" s="33"/>
      <c r="E72" s="33"/>
      <c r="F72" s="33" t="s">
        <v>62</v>
      </c>
      <c r="G72" s="33" t="s">
        <v>62</v>
      </c>
      <c r="H72" s="33" t="s">
        <v>62</v>
      </c>
      <c r="I72" s="1240"/>
      <c r="J72" s="398" t="s">
        <v>41</v>
      </c>
      <c r="K72" s="354" t="s">
        <v>322</v>
      </c>
      <c r="L72" s="1261" t="s">
        <v>323</v>
      </c>
      <c r="M72" s="355" t="s">
        <v>324</v>
      </c>
      <c r="N72" s="1262" t="s">
        <v>62</v>
      </c>
      <c r="O72" s="1241" t="s">
        <v>40</v>
      </c>
      <c r="P72" s="1241" t="s">
        <v>46</v>
      </c>
      <c r="Q72" s="344" t="s">
        <v>99</v>
      </c>
      <c r="R72" s="354" t="s">
        <v>85</v>
      </c>
      <c r="S72" s="1263">
        <v>20</v>
      </c>
      <c r="T72" s="356">
        <v>250</v>
      </c>
      <c r="U72" s="356">
        <v>8</v>
      </c>
      <c r="V72" s="361" t="s">
        <v>86</v>
      </c>
      <c r="W72" s="320" t="s">
        <v>200</v>
      </c>
      <c r="X72" s="463" t="s">
        <v>52</v>
      </c>
      <c r="Y72" s="313" t="s">
        <v>52</v>
      </c>
      <c r="Z72" s="625"/>
      <c r="AA72" s="340"/>
      <c r="AB72" s="714" t="s">
        <v>40</v>
      </c>
      <c r="AC72" t="s">
        <v>53</v>
      </c>
      <c r="AD72" s="764" t="s">
        <v>111</v>
      </c>
    </row>
    <row r="73" spans="1:30" ht="15.6" customHeight="1">
      <c r="A73" s="898"/>
      <c r="B73" s="33" t="s">
        <v>62</v>
      </c>
      <c r="C73" s="33" t="s">
        <v>62</v>
      </c>
      <c r="D73" s="33"/>
      <c r="E73" s="33"/>
      <c r="F73" s="33" t="s">
        <v>62</v>
      </c>
      <c r="G73" s="33" t="s">
        <v>62</v>
      </c>
      <c r="H73" s="33" t="s">
        <v>62</v>
      </c>
      <c r="I73" s="1240"/>
      <c r="J73" s="1097" t="s">
        <v>41</v>
      </c>
      <c r="K73" s="365" t="s">
        <v>325</v>
      </c>
      <c r="L73" s="1264" t="s">
        <v>326</v>
      </c>
      <c r="M73" s="469" t="s">
        <v>327</v>
      </c>
      <c r="N73" s="1265"/>
      <c r="O73" s="1241" t="s">
        <v>40</v>
      </c>
      <c r="P73" s="1241" t="s">
        <v>46</v>
      </c>
      <c r="Q73" s="363" t="s">
        <v>328</v>
      </c>
      <c r="R73" s="365" t="s">
        <v>85</v>
      </c>
      <c r="S73" s="1266">
        <v>8</v>
      </c>
      <c r="T73" s="1266">
        <v>120</v>
      </c>
      <c r="U73" s="1266">
        <v>4</v>
      </c>
      <c r="V73" s="320" t="s">
        <v>50</v>
      </c>
      <c r="W73" s="320" t="s">
        <v>51</v>
      </c>
      <c r="X73" s="313" t="s">
        <v>52</v>
      </c>
      <c r="Y73" s="313" t="s">
        <v>52</v>
      </c>
      <c r="Z73" s="351"/>
      <c r="AA73" s="351"/>
      <c r="AB73" s="717" t="s">
        <v>329</v>
      </c>
      <c r="AC73" t="s">
        <v>53</v>
      </c>
      <c r="AD73" s="765" t="s">
        <v>164</v>
      </c>
    </row>
    <row r="74" spans="1:30" ht="15.6" customHeight="1">
      <c r="A74" s="73"/>
      <c r="B74" s="33" t="s">
        <v>62</v>
      </c>
      <c r="C74" s="33" t="s">
        <v>62</v>
      </c>
      <c r="D74" s="33"/>
      <c r="E74" s="33"/>
      <c r="F74" s="33" t="s">
        <v>62</v>
      </c>
      <c r="G74" s="33" t="s">
        <v>62</v>
      </c>
      <c r="H74" s="33" t="s">
        <v>62</v>
      </c>
      <c r="I74" s="1240"/>
      <c r="J74" s="267" t="s">
        <v>41</v>
      </c>
      <c r="K74" s="351" t="s">
        <v>663</v>
      </c>
      <c r="L74" s="363" t="s">
        <v>331</v>
      </c>
      <c r="M74" s="351" t="s">
        <v>332</v>
      </c>
      <c r="N74" s="310"/>
      <c r="O74" s="677" t="s">
        <v>46</v>
      </c>
      <c r="P74" s="677" t="s">
        <v>40</v>
      </c>
      <c r="Q74" s="351" t="s">
        <v>286</v>
      </c>
      <c r="R74" s="351" t="s">
        <v>333</v>
      </c>
      <c r="S74" s="313">
        <v>4</v>
      </c>
      <c r="T74" s="313">
        <v>80</v>
      </c>
      <c r="U74" s="313">
        <v>4</v>
      </c>
      <c r="V74" s="361" t="s">
        <v>86</v>
      </c>
      <c r="W74" s="320" t="s">
        <v>51</v>
      </c>
      <c r="X74" s="463"/>
      <c r="Y74" s="313"/>
      <c r="Z74" s="625"/>
      <c r="AA74" s="340"/>
      <c r="AB74" s="714" t="s">
        <v>40</v>
      </c>
      <c r="AC74" t="s">
        <v>53</v>
      </c>
      <c r="AD74" s="765" t="s">
        <v>213</v>
      </c>
    </row>
    <row r="75" spans="1:30" ht="15.6" customHeight="1">
      <c r="A75" s="73"/>
      <c r="B75" s="33"/>
      <c r="C75" s="33"/>
      <c r="D75" s="33"/>
      <c r="E75" s="33"/>
      <c r="F75" s="33"/>
      <c r="G75" s="33"/>
      <c r="H75" s="33"/>
      <c r="I75" s="1240"/>
      <c r="J75" s="450" t="s">
        <v>41</v>
      </c>
      <c r="K75" s="451" t="s">
        <v>664</v>
      </c>
      <c r="L75" s="1267" t="s">
        <v>46</v>
      </c>
      <c r="M75" s="451" t="s">
        <v>665</v>
      </c>
      <c r="N75" s="1268" t="s">
        <v>46</v>
      </c>
      <c r="O75" s="1269" t="s">
        <v>46</v>
      </c>
      <c r="P75" s="1269" t="s">
        <v>46</v>
      </c>
      <c r="Q75" s="451" t="s">
        <v>46</v>
      </c>
      <c r="R75" s="451" t="s">
        <v>46</v>
      </c>
      <c r="S75" s="457">
        <v>8</v>
      </c>
      <c r="T75" s="457">
        <v>120</v>
      </c>
      <c r="U75" s="457">
        <v>2</v>
      </c>
      <c r="V75" s="361"/>
      <c r="W75" s="320" t="s">
        <v>633</v>
      </c>
      <c r="X75" s="463"/>
      <c r="Y75" s="313"/>
      <c r="Z75" s="625"/>
      <c r="AA75" s="340"/>
      <c r="AB75" s="714"/>
    </row>
    <row r="76" spans="1:30" ht="15.6" customHeight="1">
      <c r="A76" s="73" t="s">
        <v>62</v>
      </c>
      <c r="B76" s="33" t="s">
        <v>62</v>
      </c>
      <c r="C76" s="33" t="s">
        <v>62</v>
      </c>
      <c r="D76" s="33"/>
      <c r="E76" s="33"/>
      <c r="F76" s="33" t="s">
        <v>62</v>
      </c>
      <c r="G76" s="33" t="s">
        <v>62</v>
      </c>
      <c r="H76" s="33" t="s">
        <v>62</v>
      </c>
      <c r="I76" s="1240"/>
      <c r="J76" s="267" t="s">
        <v>41</v>
      </c>
      <c r="K76" s="1270" t="s">
        <v>666</v>
      </c>
      <c r="L76" s="363" t="s">
        <v>667</v>
      </c>
      <c r="M76" s="351" t="s">
        <v>668</v>
      </c>
      <c r="N76" s="310" t="s">
        <v>62</v>
      </c>
      <c r="O76" s="677" t="s">
        <v>46</v>
      </c>
      <c r="P76" s="677" t="s">
        <v>40</v>
      </c>
      <c r="Q76" s="351" t="s">
        <v>174</v>
      </c>
      <c r="R76" s="351" t="s">
        <v>180</v>
      </c>
      <c r="S76" s="313">
        <v>24</v>
      </c>
      <c r="T76" s="313">
        <f>110+11230+300</f>
        <v>11640</v>
      </c>
      <c r="U76" s="313">
        <v>4</v>
      </c>
      <c r="V76" s="361" t="s">
        <v>65</v>
      </c>
      <c r="W76" s="320" t="s">
        <v>51</v>
      </c>
      <c r="X76" s="463" t="s">
        <v>181</v>
      </c>
      <c r="Y76" s="313" t="s">
        <v>341</v>
      </c>
      <c r="Z76" s="625"/>
      <c r="AA76" s="340"/>
      <c r="AB76" s="714" t="s">
        <v>40</v>
      </c>
      <c r="AC76" t="s">
        <v>53</v>
      </c>
      <c r="AD76" s="764" t="s">
        <v>111</v>
      </c>
    </row>
    <row r="77" spans="1:30" ht="15.6" customHeight="1">
      <c r="A77" s="73" t="s">
        <v>62</v>
      </c>
      <c r="B77" s="33" t="s">
        <v>62</v>
      </c>
      <c r="C77" s="33" t="s">
        <v>62</v>
      </c>
      <c r="D77" s="33"/>
      <c r="E77" s="33"/>
      <c r="F77" s="33" t="s">
        <v>62</v>
      </c>
      <c r="G77" s="33" t="s">
        <v>62</v>
      </c>
      <c r="H77" s="33" t="s">
        <v>62</v>
      </c>
      <c r="I77" s="1240"/>
      <c r="J77" s="267" t="s">
        <v>41</v>
      </c>
      <c r="K77" s="510" t="s">
        <v>669</v>
      </c>
      <c r="L77" s="590" t="s">
        <v>670</v>
      </c>
      <c r="M77" s="510" t="s">
        <v>671</v>
      </c>
      <c r="N77" s="310" t="s">
        <v>672</v>
      </c>
      <c r="O77" s="677" t="s">
        <v>46</v>
      </c>
      <c r="P77" s="677" t="s">
        <v>40</v>
      </c>
      <c r="Q77" s="351" t="s">
        <v>174</v>
      </c>
      <c r="R77" s="351" t="s">
        <v>180</v>
      </c>
      <c r="S77" s="313">
        <v>32</v>
      </c>
      <c r="T77" s="313">
        <f>420+600</f>
        <v>1020</v>
      </c>
      <c r="U77" s="313">
        <v>4</v>
      </c>
      <c r="V77" s="361" t="s">
        <v>65</v>
      </c>
      <c r="W77" s="320" t="s">
        <v>633</v>
      </c>
      <c r="X77" s="463" t="s">
        <v>181</v>
      </c>
      <c r="Y77" s="313" t="s">
        <v>673</v>
      </c>
      <c r="Z77" s="625"/>
      <c r="AA77" s="340"/>
      <c r="AB77" s="714" t="s">
        <v>40</v>
      </c>
      <c r="AC77" t="s">
        <v>219</v>
      </c>
    </row>
    <row r="78" spans="1:30" ht="15.6" customHeight="1">
      <c r="A78" s="73" t="s">
        <v>62</v>
      </c>
      <c r="B78" s="33" t="s">
        <v>62</v>
      </c>
      <c r="C78" s="33" t="s">
        <v>62</v>
      </c>
      <c r="D78" s="33"/>
      <c r="E78" s="33"/>
      <c r="F78" s="33" t="s">
        <v>62</v>
      </c>
      <c r="G78" s="33" t="s">
        <v>62</v>
      </c>
      <c r="H78" s="33" t="s">
        <v>62</v>
      </c>
      <c r="I78" s="1240"/>
      <c r="J78" s="267" t="s">
        <v>41</v>
      </c>
      <c r="K78" s="351" t="s">
        <v>674</v>
      </c>
      <c r="L78" s="363" t="s">
        <v>675</v>
      </c>
      <c r="M78" s="351" t="s">
        <v>676</v>
      </c>
      <c r="N78" s="310" t="s">
        <v>62</v>
      </c>
      <c r="O78" s="677" t="s">
        <v>46</v>
      </c>
      <c r="P78" s="677" t="s">
        <v>40</v>
      </c>
      <c r="Q78" s="344" t="s">
        <v>99</v>
      </c>
      <c r="R78" s="351" t="s">
        <v>180</v>
      </c>
      <c r="S78" s="313">
        <v>20</v>
      </c>
      <c r="T78" s="313">
        <v>300</v>
      </c>
      <c r="U78" s="313">
        <v>6</v>
      </c>
      <c r="V78" s="361" t="s">
        <v>65</v>
      </c>
      <c r="W78" s="320" t="s">
        <v>51</v>
      </c>
      <c r="X78" s="463" t="s">
        <v>52</v>
      </c>
      <c r="Y78" s="313" t="s">
        <v>52</v>
      </c>
      <c r="Z78" s="625"/>
      <c r="AA78" s="340"/>
      <c r="AB78" s="714" t="s">
        <v>40</v>
      </c>
      <c r="AC78" t="s">
        <v>53</v>
      </c>
      <c r="AD78" s="764" t="s">
        <v>318</v>
      </c>
    </row>
    <row r="79" spans="1:30" ht="15.6" customHeight="1">
      <c r="A79" s="73" t="s">
        <v>62</v>
      </c>
      <c r="B79" s="33" t="s">
        <v>62</v>
      </c>
      <c r="C79" s="33" t="s">
        <v>62</v>
      </c>
      <c r="D79" s="33"/>
      <c r="E79" s="33"/>
      <c r="F79" s="33" t="s">
        <v>62</v>
      </c>
      <c r="G79" s="33" t="s">
        <v>62</v>
      </c>
      <c r="H79" s="33" t="s">
        <v>62</v>
      </c>
      <c r="I79" s="1240"/>
      <c r="J79" s="370" t="s">
        <v>41</v>
      </c>
      <c r="K79" s="438" t="s">
        <v>677</v>
      </c>
      <c r="L79" s="418" t="s">
        <v>678</v>
      </c>
      <c r="M79" s="438" t="s">
        <v>679</v>
      </c>
      <c r="N79" s="731" t="s">
        <v>62</v>
      </c>
      <c r="O79" s="677" t="s">
        <v>46</v>
      </c>
      <c r="P79" s="677" t="s">
        <v>40</v>
      </c>
      <c r="Q79" s="832" t="s">
        <v>680</v>
      </c>
      <c r="R79" s="438" t="s">
        <v>85</v>
      </c>
      <c r="S79" s="367">
        <v>8</v>
      </c>
      <c r="T79" s="367">
        <v>250</v>
      </c>
      <c r="U79" s="367">
        <v>4</v>
      </c>
      <c r="V79" s="361" t="s">
        <v>65</v>
      </c>
      <c r="W79" s="732" t="s">
        <v>681</v>
      </c>
      <c r="X79" s="463" t="s">
        <v>229</v>
      </c>
      <c r="Y79" s="313" t="s">
        <v>682</v>
      </c>
      <c r="Z79" s="625"/>
      <c r="AA79" s="340"/>
      <c r="AB79" s="714" t="s">
        <v>40</v>
      </c>
      <c r="AC79" t="s">
        <v>53</v>
      </c>
      <c r="AD79" s="764" t="s">
        <v>318</v>
      </c>
    </row>
    <row r="80" spans="1:30" ht="15.6" customHeight="1">
      <c r="A80" s="73" t="s">
        <v>62</v>
      </c>
      <c r="B80" s="33" t="s">
        <v>62</v>
      </c>
      <c r="C80" s="33" t="s">
        <v>62</v>
      </c>
      <c r="D80" s="33"/>
      <c r="E80" s="33"/>
      <c r="F80" s="33" t="s">
        <v>62</v>
      </c>
      <c r="G80" s="33" t="s">
        <v>62</v>
      </c>
      <c r="H80" s="33" t="s">
        <v>62</v>
      </c>
      <c r="I80" s="1240"/>
      <c r="J80" s="267" t="s">
        <v>41</v>
      </c>
      <c r="K80" s="344" t="s">
        <v>334</v>
      </c>
      <c r="L80" s="358" t="s">
        <v>335</v>
      </c>
      <c r="M80" s="345" t="s">
        <v>336</v>
      </c>
      <c r="N80" s="659" t="s">
        <v>62</v>
      </c>
      <c r="O80" s="677" t="s">
        <v>46</v>
      </c>
      <c r="P80" s="677" t="s">
        <v>40</v>
      </c>
      <c r="Q80" s="344" t="s">
        <v>99</v>
      </c>
      <c r="R80" s="344" t="s">
        <v>85</v>
      </c>
      <c r="S80" s="346">
        <v>16</v>
      </c>
      <c r="T80" s="350">
        <v>200</v>
      </c>
      <c r="U80" s="350">
        <v>4</v>
      </c>
      <c r="V80" s="361" t="s">
        <v>50</v>
      </c>
      <c r="W80" s="320" t="s">
        <v>51</v>
      </c>
      <c r="X80" s="463" t="s">
        <v>52</v>
      </c>
      <c r="Y80" s="313" t="s">
        <v>52</v>
      </c>
      <c r="Z80" s="625"/>
      <c r="AA80" s="340"/>
      <c r="AB80" s="714" t="s">
        <v>40</v>
      </c>
      <c r="AC80" t="s">
        <v>53</v>
      </c>
    </row>
    <row r="81" spans="1:30" ht="25.5" customHeight="1">
      <c r="A81" s="73" t="s">
        <v>62</v>
      </c>
      <c r="B81" s="33" t="s">
        <v>62</v>
      </c>
      <c r="C81" s="33" t="s">
        <v>62</v>
      </c>
      <c r="D81" s="33"/>
      <c r="E81" s="33"/>
      <c r="F81" s="33" t="s">
        <v>62</v>
      </c>
      <c r="G81" s="33" t="s">
        <v>62</v>
      </c>
      <c r="H81" s="33" t="s">
        <v>62</v>
      </c>
      <c r="I81" s="1240"/>
      <c r="J81" s="267" t="s">
        <v>41</v>
      </c>
      <c r="K81" s="344" t="s">
        <v>683</v>
      </c>
      <c r="L81" s="358" t="s">
        <v>338</v>
      </c>
      <c r="M81" s="345" t="s">
        <v>339</v>
      </c>
      <c r="N81" s="315" t="s">
        <v>340</v>
      </c>
      <c r="O81" s="677" t="s">
        <v>46</v>
      </c>
      <c r="P81" s="677" t="s">
        <v>40</v>
      </c>
      <c r="Q81" s="351" t="s">
        <v>174</v>
      </c>
      <c r="R81" s="344" t="s">
        <v>180</v>
      </c>
      <c r="S81" s="346">
        <v>16</v>
      </c>
      <c r="T81" s="350">
        <v>200</v>
      </c>
      <c r="U81" s="350">
        <v>4</v>
      </c>
      <c r="V81" s="361" t="s">
        <v>50</v>
      </c>
      <c r="W81" s="320" t="s">
        <v>51</v>
      </c>
      <c r="X81" s="463" t="s">
        <v>181</v>
      </c>
      <c r="Y81" s="313" t="s">
        <v>341</v>
      </c>
      <c r="Z81" s="625"/>
      <c r="AA81" s="340"/>
      <c r="AB81" s="714" t="s">
        <v>40</v>
      </c>
      <c r="AC81" t="s">
        <v>53</v>
      </c>
      <c r="AD81" s="765" t="s">
        <v>87</v>
      </c>
    </row>
    <row r="82" spans="1:30" ht="25.5" customHeight="1">
      <c r="A82" s="73"/>
      <c r="B82" s="33"/>
      <c r="C82" s="33"/>
      <c r="D82" s="33"/>
      <c r="E82" s="33"/>
      <c r="F82" s="33"/>
      <c r="G82" s="33"/>
      <c r="H82" s="33"/>
      <c r="I82" s="1240"/>
      <c r="J82" s="267" t="s">
        <v>41</v>
      </c>
      <c r="K82" s="417" t="s">
        <v>342</v>
      </c>
      <c r="L82" s="358" t="s">
        <v>343</v>
      </c>
      <c r="M82" s="345" t="s">
        <v>344</v>
      </c>
      <c r="N82" s="315"/>
      <c r="O82" s="677"/>
      <c r="P82" s="677" t="s">
        <v>40</v>
      </c>
      <c r="Q82" s="351" t="s">
        <v>174</v>
      </c>
      <c r="R82" s="344" t="s">
        <v>180</v>
      </c>
      <c r="S82" s="346">
        <v>16</v>
      </c>
      <c r="T82" s="350">
        <v>200</v>
      </c>
      <c r="U82" s="350">
        <v>4</v>
      </c>
      <c r="V82" s="361" t="s">
        <v>50</v>
      </c>
      <c r="W82" s="320" t="s">
        <v>346</v>
      </c>
      <c r="X82" s="463" t="s">
        <v>181</v>
      </c>
      <c r="Y82" s="313" t="s">
        <v>341</v>
      </c>
      <c r="Z82" s="625"/>
      <c r="AA82" s="340"/>
      <c r="AB82" s="714" t="s">
        <v>40</v>
      </c>
      <c r="AC82" t="s">
        <v>53</v>
      </c>
      <c r="AD82" s="764" t="s">
        <v>246</v>
      </c>
    </row>
    <row r="83" spans="1:30" s="629" customFormat="1" ht="33" customHeight="1">
      <c r="A83" s="1271" t="s">
        <v>62</v>
      </c>
      <c r="B83" s="1272" t="s">
        <v>62</v>
      </c>
      <c r="C83" s="1272" t="s">
        <v>62</v>
      </c>
      <c r="D83" s="1272"/>
      <c r="E83" s="1272"/>
      <c r="F83" s="1272" t="s">
        <v>62</v>
      </c>
      <c r="G83" s="1272" t="s">
        <v>62</v>
      </c>
      <c r="H83" s="1272" t="s">
        <v>62</v>
      </c>
      <c r="I83" s="1273"/>
      <c r="J83" s="1103" t="s">
        <v>41</v>
      </c>
      <c r="K83" s="1274" t="s">
        <v>353</v>
      </c>
      <c r="L83" s="1275" t="s">
        <v>354</v>
      </c>
      <c r="M83" s="1276" t="s">
        <v>355</v>
      </c>
      <c r="N83" s="1277" t="s">
        <v>62</v>
      </c>
      <c r="O83" s="1278" t="s">
        <v>46</v>
      </c>
      <c r="P83" s="1278" t="s">
        <v>40</v>
      </c>
      <c r="Q83" s="1274" t="s">
        <v>356</v>
      </c>
      <c r="R83" s="1274" t="s">
        <v>116</v>
      </c>
      <c r="S83" s="1279">
        <v>32</v>
      </c>
      <c r="T83" s="1280">
        <v>350</v>
      </c>
      <c r="U83" s="1280">
        <v>4</v>
      </c>
      <c r="V83" s="1281" t="s">
        <v>50</v>
      </c>
      <c r="W83" s="1282" t="s">
        <v>51</v>
      </c>
      <c r="X83" s="596" t="s">
        <v>181</v>
      </c>
      <c r="Y83" s="362" t="s">
        <v>357</v>
      </c>
      <c r="Z83" s="627"/>
      <c r="AA83" s="628"/>
      <c r="AB83" s="1283" t="s">
        <v>40</v>
      </c>
      <c r="AC83" s="629" t="s">
        <v>53</v>
      </c>
      <c r="AD83" s="764" t="s">
        <v>111</v>
      </c>
    </row>
    <row r="84" spans="1:30" s="781" customFormat="1" ht="33" customHeight="1">
      <c r="A84" s="1284"/>
      <c r="B84" s="1106"/>
      <c r="C84" s="1106"/>
      <c r="D84" s="1106"/>
      <c r="E84" s="1106"/>
      <c r="F84" s="1106"/>
      <c r="G84" s="1106"/>
      <c r="H84" s="1106"/>
      <c r="I84" s="1285"/>
      <c r="J84" s="1107" t="s">
        <v>41</v>
      </c>
      <c r="K84" s="365" t="s">
        <v>358</v>
      </c>
      <c r="L84" s="1286" t="s">
        <v>359</v>
      </c>
      <c r="M84" s="365" t="s">
        <v>360</v>
      </c>
      <c r="N84" s="1265"/>
      <c r="O84" s="1287"/>
      <c r="P84" s="1287" t="s">
        <v>40</v>
      </c>
      <c r="Q84" s="365" t="s">
        <v>235</v>
      </c>
      <c r="R84" s="363" t="s">
        <v>163</v>
      </c>
      <c r="S84" s="1266">
        <v>12</v>
      </c>
      <c r="T84" s="1266">
        <v>150</v>
      </c>
      <c r="U84" s="1266">
        <v>2</v>
      </c>
      <c r="V84" s="361" t="s">
        <v>86</v>
      </c>
      <c r="W84" s="600" t="s">
        <v>51</v>
      </c>
      <c r="X84" s="1288"/>
      <c r="Y84" s="1266"/>
      <c r="Z84" s="779"/>
      <c r="AA84" s="780"/>
      <c r="AB84" s="1289" t="s">
        <v>40</v>
      </c>
      <c r="AC84" s="771" t="s">
        <v>134</v>
      </c>
      <c r="AD84" s="772" t="s">
        <v>361</v>
      </c>
    </row>
    <row r="85" spans="1:30" s="771" customFormat="1" ht="33" customHeight="1">
      <c r="A85" s="1290"/>
      <c r="B85" s="1114"/>
      <c r="C85" s="1114"/>
      <c r="D85" s="1114"/>
      <c r="E85" s="1114"/>
      <c r="F85" s="1114"/>
      <c r="G85" s="1114"/>
      <c r="H85" s="1114"/>
      <c r="I85" s="1285"/>
      <c r="J85" s="276" t="s">
        <v>41</v>
      </c>
      <c r="K85" s="1291" t="s">
        <v>362</v>
      </c>
      <c r="L85" s="1286" t="s">
        <v>363</v>
      </c>
      <c r="M85" s="1291" t="s">
        <v>364</v>
      </c>
      <c r="N85" s="1264"/>
      <c r="O85" s="1287"/>
      <c r="P85" s="1287" t="s">
        <v>40</v>
      </c>
      <c r="Q85" s="1286" t="s">
        <v>365</v>
      </c>
      <c r="R85" s="1291" t="s">
        <v>116</v>
      </c>
      <c r="S85" s="600">
        <v>8</v>
      </c>
      <c r="T85" s="600">
        <v>150</v>
      </c>
      <c r="U85" s="600">
        <v>4</v>
      </c>
      <c r="V85" s="361" t="s">
        <v>86</v>
      </c>
      <c r="W85" s="600" t="s">
        <v>346</v>
      </c>
      <c r="X85" s="1292"/>
      <c r="Y85" s="600"/>
      <c r="Z85" s="769"/>
      <c r="AA85" s="770"/>
      <c r="AB85" s="1289" t="s">
        <v>40</v>
      </c>
      <c r="AC85" s="771" t="s">
        <v>134</v>
      </c>
      <c r="AD85" s="772" t="s">
        <v>361</v>
      </c>
    </row>
    <row r="86" spans="1:30" s="109" customFormat="1" ht="31.35" customHeight="1">
      <c r="A86" s="303" t="s">
        <v>62</v>
      </c>
      <c r="B86" s="35" t="s">
        <v>62</v>
      </c>
      <c r="C86" s="35" t="s">
        <v>62</v>
      </c>
      <c r="D86" s="35"/>
      <c r="E86" s="35"/>
      <c r="F86" s="35" t="s">
        <v>62</v>
      </c>
      <c r="G86" s="35" t="s">
        <v>62</v>
      </c>
      <c r="H86" s="35" t="s">
        <v>62</v>
      </c>
      <c r="I86" s="1240"/>
      <c r="J86" s="267" t="s">
        <v>41</v>
      </c>
      <c r="K86" s="418" t="s">
        <v>366</v>
      </c>
      <c r="L86" s="418" t="s">
        <v>367</v>
      </c>
      <c r="M86" s="418" t="s">
        <v>368</v>
      </c>
      <c r="N86" s="1293" t="s">
        <v>62</v>
      </c>
      <c r="O86" s="1241" t="s">
        <v>40</v>
      </c>
      <c r="P86" s="1241" t="s">
        <v>46</v>
      </c>
      <c r="Q86" s="1294" t="s">
        <v>369</v>
      </c>
      <c r="R86" s="418" t="s">
        <v>85</v>
      </c>
      <c r="S86" s="414">
        <v>20</v>
      </c>
      <c r="T86" s="414">
        <v>1300</v>
      </c>
      <c r="U86" s="414">
        <v>8</v>
      </c>
      <c r="V86" s="361" t="s">
        <v>86</v>
      </c>
      <c r="W86" s="320" t="s">
        <v>51</v>
      </c>
      <c r="X86" s="464" t="s">
        <v>181</v>
      </c>
      <c r="Y86" s="320" t="s">
        <v>341</v>
      </c>
      <c r="Z86" s="625"/>
      <c r="AA86" s="340"/>
      <c r="AB86" s="715" t="s">
        <v>40</v>
      </c>
      <c r="AC86" s="109" t="s">
        <v>134</v>
      </c>
      <c r="AD86" s="765" t="s">
        <v>87</v>
      </c>
    </row>
    <row r="87" spans="1:30" s="109" customFormat="1" ht="35.25" customHeight="1">
      <c r="A87" s="303" t="s">
        <v>62</v>
      </c>
      <c r="B87" s="35" t="s">
        <v>62</v>
      </c>
      <c r="C87" s="35" t="s">
        <v>62</v>
      </c>
      <c r="D87" s="35"/>
      <c r="E87" s="35"/>
      <c r="F87" s="35" t="s">
        <v>62</v>
      </c>
      <c r="G87" s="35" t="s">
        <v>62</v>
      </c>
      <c r="H87" s="35" t="s">
        <v>62</v>
      </c>
      <c r="I87" s="1240"/>
      <c r="J87" s="398" t="s">
        <v>41</v>
      </c>
      <c r="K87" s="488" t="s">
        <v>370</v>
      </c>
      <c r="L87" s="488" t="s">
        <v>684</v>
      </c>
      <c r="M87" s="488" t="s">
        <v>372</v>
      </c>
      <c r="N87" s="462" t="s">
        <v>373</v>
      </c>
      <c r="O87" s="462"/>
      <c r="P87" s="462"/>
      <c r="Q87" s="1286" t="s">
        <v>365</v>
      </c>
      <c r="R87" s="488" t="s">
        <v>100</v>
      </c>
      <c r="S87" s="319">
        <v>8</v>
      </c>
      <c r="T87" s="319">
        <v>250</v>
      </c>
      <c r="U87" s="319">
        <v>2</v>
      </c>
      <c r="V87" s="361" t="s">
        <v>65</v>
      </c>
      <c r="W87" s="320" t="s">
        <v>51</v>
      </c>
      <c r="X87" s="464" t="s">
        <v>52</v>
      </c>
      <c r="Y87" s="320" t="s">
        <v>52</v>
      </c>
      <c r="Z87" s="624"/>
      <c r="AA87" s="532"/>
      <c r="AB87" s="715" t="s">
        <v>40</v>
      </c>
      <c r="AC87" s="109" t="s">
        <v>219</v>
      </c>
      <c r="AD87" s="765" t="s">
        <v>246</v>
      </c>
    </row>
    <row r="88" spans="1:30" ht="15.6" customHeight="1">
      <c r="A88" s="73" t="s">
        <v>62</v>
      </c>
      <c r="B88" s="33" t="s">
        <v>62</v>
      </c>
      <c r="C88" s="33" t="s">
        <v>62</v>
      </c>
      <c r="D88" s="33"/>
      <c r="E88" s="33"/>
      <c r="F88" s="33" t="s">
        <v>62</v>
      </c>
      <c r="G88" s="33" t="s">
        <v>62</v>
      </c>
      <c r="H88" s="33" t="s">
        <v>62</v>
      </c>
      <c r="I88" s="1240"/>
      <c r="J88" s="267" t="s">
        <v>41</v>
      </c>
      <c r="K88" s="351" t="s">
        <v>374</v>
      </c>
      <c r="L88" s="363" t="s">
        <v>375</v>
      </c>
      <c r="M88" s="351" t="s">
        <v>376</v>
      </c>
      <c r="N88" s="310" t="s">
        <v>62</v>
      </c>
      <c r="O88" s="677" t="s">
        <v>46</v>
      </c>
      <c r="P88" s="677" t="s">
        <v>40</v>
      </c>
      <c r="Q88" s="1286" t="s">
        <v>365</v>
      </c>
      <c r="R88" s="351" t="s">
        <v>116</v>
      </c>
      <c r="S88" s="313">
        <v>12</v>
      </c>
      <c r="T88" s="313">
        <v>350</v>
      </c>
      <c r="U88" s="313">
        <v>6</v>
      </c>
      <c r="V88" s="361" t="s">
        <v>65</v>
      </c>
      <c r="W88" s="320" t="s">
        <v>200</v>
      </c>
      <c r="X88" s="463" t="s">
        <v>52</v>
      </c>
      <c r="Y88" s="313" t="s">
        <v>52</v>
      </c>
      <c r="Z88" s="625"/>
      <c r="AA88" s="340"/>
      <c r="AB88" s="714" t="s">
        <v>40</v>
      </c>
      <c r="AC88" t="s">
        <v>134</v>
      </c>
      <c r="AD88" s="764" t="s">
        <v>318</v>
      </c>
    </row>
    <row r="89" spans="1:30" ht="15.6" customHeight="1">
      <c r="A89" s="73" t="s">
        <v>62</v>
      </c>
      <c r="B89" s="33" t="s">
        <v>62</v>
      </c>
      <c r="C89" s="33" t="s">
        <v>62</v>
      </c>
      <c r="D89" s="33"/>
      <c r="E89" s="33"/>
      <c r="F89" s="33" t="s">
        <v>62</v>
      </c>
      <c r="G89" s="33" t="s">
        <v>62</v>
      </c>
      <c r="H89" s="33" t="s">
        <v>62</v>
      </c>
      <c r="I89" s="1240"/>
      <c r="J89" s="267" t="s">
        <v>41</v>
      </c>
      <c r="K89" s="351" t="s">
        <v>377</v>
      </c>
      <c r="L89" s="363" t="s">
        <v>378</v>
      </c>
      <c r="M89" s="351" t="s">
        <v>379</v>
      </c>
      <c r="N89" s="310" t="s">
        <v>62</v>
      </c>
      <c r="O89" s="1241" t="s">
        <v>40</v>
      </c>
      <c r="P89" s="1241" t="s">
        <v>46</v>
      </c>
      <c r="Q89" s="351" t="s">
        <v>239</v>
      </c>
      <c r="R89" s="351" t="s">
        <v>180</v>
      </c>
      <c r="S89" s="313">
        <v>10</v>
      </c>
      <c r="T89" s="313">
        <v>600</v>
      </c>
      <c r="U89" s="313">
        <v>4</v>
      </c>
      <c r="V89" s="361" t="s">
        <v>86</v>
      </c>
      <c r="W89" s="320" t="s">
        <v>51</v>
      </c>
      <c r="X89" s="463" t="s">
        <v>52</v>
      </c>
      <c r="Y89" s="313" t="s">
        <v>52</v>
      </c>
      <c r="Z89" s="625"/>
      <c r="AA89" s="340"/>
      <c r="AB89" s="714" t="s">
        <v>40</v>
      </c>
      <c r="AC89" t="s">
        <v>53</v>
      </c>
      <c r="AD89" s="764" t="s">
        <v>318</v>
      </c>
    </row>
    <row r="90" spans="1:30" ht="15.6" customHeight="1">
      <c r="A90" s="73" t="s">
        <v>62</v>
      </c>
      <c r="B90" s="33" t="s">
        <v>62</v>
      </c>
      <c r="C90" s="33" t="s">
        <v>62</v>
      </c>
      <c r="D90" s="33"/>
      <c r="E90" s="33"/>
      <c r="F90" s="33" t="s">
        <v>62</v>
      </c>
      <c r="G90" s="33" t="s">
        <v>62</v>
      </c>
      <c r="H90" s="33" t="s">
        <v>62</v>
      </c>
      <c r="I90" s="1240"/>
      <c r="J90" s="267" t="s">
        <v>41</v>
      </c>
      <c r="K90" s="351" t="s">
        <v>380</v>
      </c>
      <c r="L90" s="363" t="s">
        <v>381</v>
      </c>
      <c r="M90" s="365" t="s">
        <v>382</v>
      </c>
      <c r="N90" s="310" t="s">
        <v>62</v>
      </c>
      <c r="O90" s="321" t="s">
        <v>46</v>
      </c>
      <c r="P90" s="321" t="s">
        <v>46</v>
      </c>
      <c r="Q90" s="351" t="s">
        <v>328</v>
      </c>
      <c r="R90" s="351" t="s">
        <v>383</v>
      </c>
      <c r="S90" s="313">
        <v>19</v>
      </c>
      <c r="T90" s="313">
        <v>700.35</v>
      </c>
      <c r="U90" s="313">
        <v>4</v>
      </c>
      <c r="V90" s="361" t="s">
        <v>50</v>
      </c>
      <c r="W90" s="320" t="s">
        <v>51</v>
      </c>
      <c r="X90" s="463" t="s">
        <v>52</v>
      </c>
      <c r="Y90" s="313" t="s">
        <v>52</v>
      </c>
      <c r="Z90" s="625"/>
      <c r="AA90" s="340"/>
      <c r="AB90" s="714" t="s">
        <v>40</v>
      </c>
      <c r="AC90" t="s">
        <v>134</v>
      </c>
      <c r="AD90" s="765" t="s">
        <v>127</v>
      </c>
    </row>
    <row r="91" spans="1:30" s="758" customFormat="1" ht="15.6" customHeight="1">
      <c r="A91" s="1295" t="s">
        <v>62</v>
      </c>
      <c r="B91" s="1296" t="s">
        <v>62</v>
      </c>
      <c r="C91" s="1296" t="s">
        <v>62</v>
      </c>
      <c r="D91" s="1296"/>
      <c r="E91" s="1296"/>
      <c r="F91" s="1296" t="s">
        <v>62</v>
      </c>
      <c r="G91" s="1296" t="s">
        <v>62</v>
      </c>
      <c r="H91" s="1296" t="s">
        <v>62</v>
      </c>
      <c r="I91" s="1297"/>
      <c r="J91" s="1298" t="s">
        <v>41</v>
      </c>
      <c r="K91" s="1299" t="s">
        <v>685</v>
      </c>
      <c r="L91" s="1300" t="s">
        <v>686</v>
      </c>
      <c r="M91" s="1301" t="s">
        <v>687</v>
      </c>
      <c r="N91" s="755" t="s">
        <v>62</v>
      </c>
      <c r="O91" s="756"/>
      <c r="P91" s="756"/>
      <c r="Q91" s="1270" t="s">
        <v>328</v>
      </c>
      <c r="R91" s="1299" t="s">
        <v>85</v>
      </c>
      <c r="S91" s="1302">
        <v>20</v>
      </c>
      <c r="T91" s="1303">
        <v>250</v>
      </c>
      <c r="U91" s="1303">
        <v>8</v>
      </c>
      <c r="V91" s="1304" t="s">
        <v>50</v>
      </c>
      <c r="W91" s="559" t="s">
        <v>51</v>
      </c>
      <c r="X91" s="1305" t="s">
        <v>206</v>
      </c>
      <c r="Y91" s="1306" t="s">
        <v>207</v>
      </c>
      <c r="Z91" s="757"/>
      <c r="AA91" s="552"/>
      <c r="AB91" s="1307" t="s">
        <v>40</v>
      </c>
      <c r="AD91" s="561"/>
    </row>
    <row r="92" spans="1:30" s="109" customFormat="1" ht="31.35" customHeight="1">
      <c r="A92" s="303"/>
      <c r="B92" s="35"/>
      <c r="C92" s="35"/>
      <c r="D92" s="35"/>
      <c r="E92" s="35"/>
      <c r="F92" s="35"/>
      <c r="G92" s="35"/>
      <c r="H92" s="35"/>
      <c r="I92" s="1240"/>
      <c r="J92" s="267" t="s">
        <v>41</v>
      </c>
      <c r="K92" s="556" t="s">
        <v>688</v>
      </c>
      <c r="L92" s="364" t="s">
        <v>689</v>
      </c>
      <c r="M92" s="1291" t="s">
        <v>690</v>
      </c>
      <c r="N92" s="379"/>
      <c r="O92" s="677" t="s">
        <v>46</v>
      </c>
      <c r="P92" s="677" t="s">
        <v>40</v>
      </c>
      <c r="Q92" s="363" t="s">
        <v>328</v>
      </c>
      <c r="R92" s="363" t="s">
        <v>163</v>
      </c>
      <c r="S92" s="320">
        <v>4</v>
      </c>
      <c r="T92" s="320">
        <v>80</v>
      </c>
      <c r="U92" s="320">
        <v>2</v>
      </c>
      <c r="V92" s="361" t="s">
        <v>50</v>
      </c>
      <c r="W92" s="320" t="s">
        <v>51</v>
      </c>
      <c r="X92" s="464"/>
      <c r="Y92" s="320"/>
      <c r="Z92" s="625"/>
      <c r="AA92" s="340"/>
      <c r="AB92" s="715"/>
    </row>
    <row r="93" spans="1:30" s="109" customFormat="1" ht="31.35" customHeight="1">
      <c r="A93" s="303" t="s">
        <v>62</v>
      </c>
      <c r="B93" s="35" t="s">
        <v>62</v>
      </c>
      <c r="C93" s="35" t="s">
        <v>62</v>
      </c>
      <c r="D93" s="35"/>
      <c r="E93" s="35"/>
      <c r="F93" s="35" t="s">
        <v>62</v>
      </c>
      <c r="G93" s="35" t="s">
        <v>62</v>
      </c>
      <c r="H93" s="35" t="s">
        <v>62</v>
      </c>
      <c r="I93" s="1240"/>
      <c r="J93" s="267" t="s">
        <v>41</v>
      </c>
      <c r="K93" s="359" t="s">
        <v>691</v>
      </c>
      <c r="L93" s="1256" t="s">
        <v>692</v>
      </c>
      <c r="M93" s="358" t="s">
        <v>693</v>
      </c>
      <c r="N93" s="318" t="s">
        <v>694</v>
      </c>
      <c r="O93" s="318"/>
      <c r="P93" s="318"/>
      <c r="Q93" s="1308" t="s">
        <v>680</v>
      </c>
      <c r="R93" s="359" t="s">
        <v>85</v>
      </c>
      <c r="S93" s="360">
        <v>10</v>
      </c>
      <c r="T93" s="352">
        <v>250</v>
      </c>
      <c r="U93" s="352">
        <v>4</v>
      </c>
      <c r="V93" s="361" t="s">
        <v>50</v>
      </c>
      <c r="W93" s="732" t="s">
        <v>681</v>
      </c>
      <c r="X93" s="464" t="s">
        <v>181</v>
      </c>
      <c r="Y93" s="320" t="s">
        <v>341</v>
      </c>
      <c r="Z93" s="625"/>
      <c r="AA93" s="340"/>
      <c r="AB93" s="715" t="s">
        <v>40</v>
      </c>
      <c r="AC93" s="109" t="s">
        <v>53</v>
      </c>
      <c r="AD93" s="764" t="s">
        <v>318</v>
      </c>
    </row>
    <row r="94" spans="1:30" s="561" customFormat="1" ht="31.35" customHeight="1">
      <c r="A94" s="553" t="s">
        <v>62</v>
      </c>
      <c r="B94" s="554" t="s">
        <v>62</v>
      </c>
      <c r="C94" s="554" t="s">
        <v>62</v>
      </c>
      <c r="D94" s="554"/>
      <c r="E94" s="554"/>
      <c r="F94" s="554" t="s">
        <v>62</v>
      </c>
      <c r="G94" s="554" t="s">
        <v>62</v>
      </c>
      <c r="H94" s="554" t="s">
        <v>62</v>
      </c>
      <c r="I94" s="1240"/>
      <c r="J94" s="555" t="s">
        <v>41</v>
      </c>
      <c r="K94" s="556" t="s">
        <v>695</v>
      </c>
      <c r="L94" s="556" t="s">
        <v>696</v>
      </c>
      <c r="M94" s="556" t="s">
        <v>129</v>
      </c>
      <c r="N94" s="557" t="s">
        <v>62</v>
      </c>
      <c r="O94" s="557"/>
      <c r="P94" s="557"/>
      <c r="Q94" s="556" t="s">
        <v>697</v>
      </c>
      <c r="R94" s="558" t="s">
        <v>651</v>
      </c>
      <c r="S94" s="559">
        <v>12</v>
      </c>
      <c r="T94" s="559">
        <v>500</v>
      </c>
      <c r="U94" s="559">
        <v>4</v>
      </c>
      <c r="V94" s="560" t="s">
        <v>65</v>
      </c>
      <c r="W94" s="559" t="s">
        <v>698</v>
      </c>
      <c r="X94" s="595" t="s">
        <v>52</v>
      </c>
      <c r="Y94" s="559" t="s">
        <v>52</v>
      </c>
      <c r="Z94" s="625"/>
      <c r="AA94" s="552"/>
      <c r="AB94" s="721" t="s">
        <v>635</v>
      </c>
    </row>
    <row r="95" spans="1:30" s="109" customFormat="1" ht="47.1" customHeight="1">
      <c r="A95" s="303" t="s">
        <v>62</v>
      </c>
      <c r="B95" s="35" t="s">
        <v>62</v>
      </c>
      <c r="C95" s="35" t="s">
        <v>62</v>
      </c>
      <c r="D95" s="35"/>
      <c r="E95" s="35"/>
      <c r="F95" s="35" t="s">
        <v>62</v>
      </c>
      <c r="G95" s="35" t="s">
        <v>62</v>
      </c>
      <c r="H95" s="35" t="s">
        <v>62</v>
      </c>
      <c r="I95" s="1240"/>
      <c r="J95" s="267" t="s">
        <v>41</v>
      </c>
      <c r="K95" s="363" t="s">
        <v>393</v>
      </c>
      <c r="L95" s="364" t="s">
        <v>394</v>
      </c>
      <c r="M95" s="363" t="s">
        <v>395</v>
      </c>
      <c r="N95" s="379" t="s">
        <v>62</v>
      </c>
      <c r="O95" s="677" t="s">
        <v>46</v>
      </c>
      <c r="P95" s="677" t="s">
        <v>40</v>
      </c>
      <c r="Q95" s="363" t="s">
        <v>396</v>
      </c>
      <c r="R95" s="363" t="s">
        <v>116</v>
      </c>
      <c r="S95" s="320">
        <v>14</v>
      </c>
      <c r="T95" s="320">
        <v>300</v>
      </c>
      <c r="U95" s="562">
        <v>6</v>
      </c>
      <c r="V95" s="562" t="s">
        <v>65</v>
      </c>
      <c r="W95" s="320" t="s">
        <v>200</v>
      </c>
      <c r="X95" s="596" t="s">
        <v>52</v>
      </c>
      <c r="Y95" s="362" t="s">
        <v>52</v>
      </c>
      <c r="Z95" s="624"/>
      <c r="AA95" s="532"/>
      <c r="AB95" s="715" t="s">
        <v>40</v>
      </c>
      <c r="AC95" s="109" t="s">
        <v>53</v>
      </c>
      <c r="AD95" s="765" t="s">
        <v>87</v>
      </c>
    </row>
    <row r="96" spans="1:30" s="109" customFormat="1" ht="47.1" customHeight="1">
      <c r="A96" s="303" t="s">
        <v>62</v>
      </c>
      <c r="B96" s="35" t="s">
        <v>62</v>
      </c>
      <c r="C96" s="35" t="s">
        <v>62</v>
      </c>
      <c r="D96" s="35"/>
      <c r="E96" s="35"/>
      <c r="F96" s="35" t="s">
        <v>62</v>
      </c>
      <c r="G96" s="35" t="s">
        <v>62</v>
      </c>
      <c r="H96" s="35" t="s">
        <v>62</v>
      </c>
      <c r="I96" s="1240"/>
      <c r="J96" s="267" t="s">
        <v>41</v>
      </c>
      <c r="K96" s="359" t="s">
        <v>397</v>
      </c>
      <c r="L96" s="1256" t="s">
        <v>398</v>
      </c>
      <c r="M96" s="358" t="s">
        <v>399</v>
      </c>
      <c r="N96" s="363" t="s">
        <v>400</v>
      </c>
      <c r="O96" s="1241" t="s">
        <v>40</v>
      </c>
      <c r="P96" s="1241" t="s">
        <v>46</v>
      </c>
      <c r="Q96" s="358" t="s">
        <v>396</v>
      </c>
      <c r="R96" s="359" t="s">
        <v>85</v>
      </c>
      <c r="S96" s="360">
        <v>10</v>
      </c>
      <c r="T96" s="352">
        <v>300</v>
      </c>
      <c r="U96" s="361">
        <v>6</v>
      </c>
      <c r="V96" s="562" t="s">
        <v>50</v>
      </c>
      <c r="W96" s="320" t="s">
        <v>51</v>
      </c>
      <c r="X96" s="1309" t="s">
        <v>52</v>
      </c>
      <c r="Y96" s="1282" t="s">
        <v>52</v>
      </c>
      <c r="Z96" s="624"/>
      <c r="AA96" s="532"/>
      <c r="AB96" s="715" t="s">
        <v>40</v>
      </c>
      <c r="AC96" s="109" t="s">
        <v>53</v>
      </c>
      <c r="AD96" s="765" t="s">
        <v>87</v>
      </c>
    </row>
    <row r="97" spans="1:30" ht="15.6" customHeight="1">
      <c r="A97" s="73" t="s">
        <v>62</v>
      </c>
      <c r="B97" s="33" t="s">
        <v>62</v>
      </c>
      <c r="C97" s="33" t="s">
        <v>62</v>
      </c>
      <c r="D97" s="33"/>
      <c r="E97" s="33"/>
      <c r="F97" s="33" t="s">
        <v>62</v>
      </c>
      <c r="G97" s="33" t="s">
        <v>62</v>
      </c>
      <c r="H97" s="33" t="s">
        <v>62</v>
      </c>
      <c r="I97" s="1240"/>
      <c r="J97" s="370" t="s">
        <v>41</v>
      </c>
      <c r="K97" s="344" t="s">
        <v>699</v>
      </c>
      <c r="L97" s="358" t="s">
        <v>184</v>
      </c>
      <c r="M97" s="345" t="s">
        <v>402</v>
      </c>
      <c r="N97" s="310" t="s">
        <v>403</v>
      </c>
      <c r="O97" s="1241" t="s">
        <v>40</v>
      </c>
      <c r="P97" s="1241" t="s">
        <v>46</v>
      </c>
      <c r="Q97" s="344" t="s">
        <v>396</v>
      </c>
      <c r="R97" s="345" t="s">
        <v>187</v>
      </c>
      <c r="S97" s="346">
        <v>38</v>
      </c>
      <c r="T97" s="350">
        <v>100</v>
      </c>
      <c r="U97" s="312">
        <v>10</v>
      </c>
      <c r="V97" s="562" t="s">
        <v>50</v>
      </c>
      <c r="W97" s="320" t="s">
        <v>51</v>
      </c>
      <c r="X97" s="463" t="s">
        <v>52</v>
      </c>
      <c r="Y97" s="313" t="s">
        <v>52</v>
      </c>
      <c r="Z97" s="625"/>
      <c r="AA97" s="340"/>
      <c r="AB97" s="714" t="s">
        <v>40</v>
      </c>
      <c r="AC97" t="s">
        <v>53</v>
      </c>
      <c r="AD97" s="765" t="s">
        <v>164</v>
      </c>
    </row>
    <row r="98" spans="1:30" s="109" customFormat="1" ht="38.25" customHeight="1">
      <c r="A98" s="303" t="s">
        <v>62</v>
      </c>
      <c r="B98" s="35" t="s">
        <v>62</v>
      </c>
      <c r="C98" s="35" t="s">
        <v>62</v>
      </c>
      <c r="D98" s="35"/>
      <c r="E98" s="35"/>
      <c r="F98" s="35" t="s">
        <v>62</v>
      </c>
      <c r="G98" s="35" t="s">
        <v>62</v>
      </c>
      <c r="H98" s="35" t="s">
        <v>62</v>
      </c>
      <c r="I98" s="1240"/>
      <c r="J98" s="267" t="s">
        <v>41</v>
      </c>
      <c r="K98" s="371" t="s">
        <v>404</v>
      </c>
      <c r="L98" s="458" t="s">
        <v>405</v>
      </c>
      <c r="M98" s="458" t="s">
        <v>406</v>
      </c>
      <c r="N98" s="462" t="s">
        <v>407</v>
      </c>
      <c r="O98" s="1241" t="s">
        <v>40</v>
      </c>
      <c r="P98" s="1241" t="s">
        <v>46</v>
      </c>
      <c r="Q98" s="344" t="s">
        <v>396</v>
      </c>
      <c r="R98" s="458" t="s">
        <v>297</v>
      </c>
      <c r="S98" s="372">
        <v>16</v>
      </c>
      <c r="T98" s="357">
        <v>250</v>
      </c>
      <c r="U98" s="342">
        <v>2</v>
      </c>
      <c r="V98" s="562" t="s">
        <v>50</v>
      </c>
      <c r="W98" s="320" t="s">
        <v>51</v>
      </c>
      <c r="X98" s="464" t="s">
        <v>52</v>
      </c>
      <c r="Y98" s="320" t="s">
        <v>52</v>
      </c>
      <c r="Z98" s="625"/>
      <c r="AA98" s="340"/>
      <c r="AB98" s="715" t="s">
        <v>40</v>
      </c>
      <c r="AC98" s="109" t="s">
        <v>53</v>
      </c>
      <c r="AD98" s="765" t="s">
        <v>213</v>
      </c>
    </row>
    <row r="99" spans="1:30" s="109" customFormat="1" ht="67.5" customHeight="1">
      <c r="A99" s="303" t="s">
        <v>62</v>
      </c>
      <c r="B99" s="35" t="s">
        <v>62</v>
      </c>
      <c r="C99" s="35" t="s">
        <v>62</v>
      </c>
      <c r="D99" s="35"/>
      <c r="E99" s="35"/>
      <c r="F99" s="35" t="s">
        <v>62</v>
      </c>
      <c r="G99" s="35" t="s">
        <v>62</v>
      </c>
      <c r="H99" s="35" t="s">
        <v>62</v>
      </c>
      <c r="I99" s="1240"/>
      <c r="J99" s="276" t="s">
        <v>41</v>
      </c>
      <c r="K99" s="363" t="s">
        <v>411</v>
      </c>
      <c r="L99" s="364" t="s">
        <v>700</v>
      </c>
      <c r="M99" s="363" t="s">
        <v>412</v>
      </c>
      <c r="N99" s="379" t="s">
        <v>413</v>
      </c>
      <c r="O99" s="1241" t="s">
        <v>40</v>
      </c>
      <c r="P99" s="1241" t="s">
        <v>46</v>
      </c>
      <c r="Q99" s="344" t="s">
        <v>396</v>
      </c>
      <c r="R99" s="363" t="s">
        <v>100</v>
      </c>
      <c r="S99" s="320">
        <v>18</v>
      </c>
      <c r="T99" s="320">
        <v>200</v>
      </c>
      <c r="U99" s="562">
        <v>10</v>
      </c>
      <c r="V99" s="562" t="s">
        <v>50</v>
      </c>
      <c r="W99" s="320" t="s">
        <v>51</v>
      </c>
      <c r="X99" s="1310" t="s">
        <v>229</v>
      </c>
      <c r="Y99" s="319" t="s">
        <v>414</v>
      </c>
      <c r="Z99" s="625"/>
      <c r="AA99" s="340"/>
      <c r="AB99" s="1311" t="s">
        <v>40</v>
      </c>
      <c r="AC99" s="109" t="s">
        <v>134</v>
      </c>
      <c r="AD99" s="765" t="s">
        <v>164</v>
      </c>
    </row>
    <row r="100" spans="1:30" ht="15.6" customHeight="1">
      <c r="A100" s="73" t="s">
        <v>62</v>
      </c>
      <c r="B100" s="33" t="s">
        <v>62</v>
      </c>
      <c r="C100" s="33" t="s">
        <v>62</v>
      </c>
      <c r="D100" s="33"/>
      <c r="E100" s="33"/>
      <c r="F100" s="33" t="s">
        <v>62</v>
      </c>
      <c r="G100" s="33" t="s">
        <v>62</v>
      </c>
      <c r="H100" s="33" t="s">
        <v>62</v>
      </c>
      <c r="I100" s="1240"/>
      <c r="J100" s="276" t="s">
        <v>41</v>
      </c>
      <c r="K100" s="351" t="s">
        <v>415</v>
      </c>
      <c r="L100" s="363" t="s">
        <v>416</v>
      </c>
      <c r="M100" s="351" t="s">
        <v>417</v>
      </c>
      <c r="N100" s="310" t="s">
        <v>62</v>
      </c>
      <c r="O100" s="1241" t="s">
        <v>40</v>
      </c>
      <c r="P100" s="1241" t="s">
        <v>46</v>
      </c>
      <c r="Q100" s="351" t="s">
        <v>639</v>
      </c>
      <c r="R100" s="351" t="s">
        <v>85</v>
      </c>
      <c r="S100" s="313">
        <v>20</v>
      </c>
      <c r="T100" s="313">
        <v>250</v>
      </c>
      <c r="U100" s="313">
        <v>8</v>
      </c>
      <c r="V100" s="361" t="s">
        <v>50</v>
      </c>
      <c r="W100" s="320" t="s">
        <v>51</v>
      </c>
      <c r="X100" s="463" t="s">
        <v>52</v>
      </c>
      <c r="Y100" s="313" t="s">
        <v>52</v>
      </c>
      <c r="Z100" s="625"/>
      <c r="AA100" s="340"/>
      <c r="AB100" s="714" t="s">
        <v>40</v>
      </c>
      <c r="AC100" t="s">
        <v>53</v>
      </c>
      <c r="AD100" s="765" t="s">
        <v>117</v>
      </c>
    </row>
    <row r="101" spans="1:30" ht="15.6" customHeight="1">
      <c r="A101" s="73" t="s">
        <v>62</v>
      </c>
      <c r="B101" s="33" t="s">
        <v>62</v>
      </c>
      <c r="C101" s="33" t="s">
        <v>62</v>
      </c>
      <c r="D101" s="33"/>
      <c r="E101" s="33"/>
      <c r="F101" s="33" t="s">
        <v>62</v>
      </c>
      <c r="G101" s="33" t="s">
        <v>62</v>
      </c>
      <c r="H101" s="33" t="s">
        <v>62</v>
      </c>
      <c r="I101" s="1240"/>
      <c r="J101" s="276" t="s">
        <v>41</v>
      </c>
      <c r="K101" s="351" t="s">
        <v>418</v>
      </c>
      <c r="L101" s="363" t="s">
        <v>419</v>
      </c>
      <c r="M101" s="351" t="s">
        <v>420</v>
      </c>
      <c r="N101" s="310" t="s">
        <v>62</v>
      </c>
      <c r="O101" s="1241" t="s">
        <v>40</v>
      </c>
      <c r="P101" s="1241" t="s">
        <v>46</v>
      </c>
      <c r="Q101" s="351" t="s">
        <v>174</v>
      </c>
      <c r="R101" s="351" t="s">
        <v>421</v>
      </c>
      <c r="S101" s="313">
        <v>6</v>
      </c>
      <c r="T101" s="313">
        <v>200</v>
      </c>
      <c r="U101" s="313">
        <v>4</v>
      </c>
      <c r="V101" s="361" t="s">
        <v>50</v>
      </c>
      <c r="W101" s="320" t="s">
        <v>51</v>
      </c>
      <c r="X101" s="463" t="s">
        <v>229</v>
      </c>
      <c r="Y101" s="313" t="s">
        <v>414</v>
      </c>
      <c r="Z101" s="625"/>
      <c r="AA101" s="340"/>
      <c r="AB101" s="714" t="s">
        <v>40</v>
      </c>
      <c r="AC101" t="s">
        <v>53</v>
      </c>
      <c r="AD101" s="765" t="s">
        <v>103</v>
      </c>
    </row>
    <row r="102" spans="1:30" s="109" customFormat="1" ht="31.35" customHeight="1">
      <c r="A102" s="303" t="s">
        <v>62</v>
      </c>
      <c r="B102" s="35" t="s">
        <v>62</v>
      </c>
      <c r="C102" s="35" t="s">
        <v>62</v>
      </c>
      <c r="D102" s="35"/>
      <c r="E102" s="35"/>
      <c r="F102" s="35" t="s">
        <v>62</v>
      </c>
      <c r="G102" s="35" t="s">
        <v>62</v>
      </c>
      <c r="H102" s="35" t="s">
        <v>62</v>
      </c>
      <c r="I102" s="1240"/>
      <c r="J102" s="276" t="s">
        <v>41</v>
      </c>
      <c r="K102" s="363" t="s">
        <v>422</v>
      </c>
      <c r="L102" s="364" t="s">
        <v>423</v>
      </c>
      <c r="M102" s="363" t="s">
        <v>424</v>
      </c>
      <c r="N102" s="379" t="s">
        <v>62</v>
      </c>
      <c r="O102" s="1241" t="s">
        <v>40</v>
      </c>
      <c r="P102" s="1241" t="s">
        <v>46</v>
      </c>
      <c r="Q102" s="351" t="s">
        <v>174</v>
      </c>
      <c r="R102" s="363" t="s">
        <v>421</v>
      </c>
      <c r="S102" s="320">
        <v>6</v>
      </c>
      <c r="T102" s="320">
        <v>200</v>
      </c>
      <c r="U102" s="320">
        <v>4</v>
      </c>
      <c r="V102" s="361" t="s">
        <v>65</v>
      </c>
      <c r="W102" s="320" t="s">
        <v>200</v>
      </c>
      <c r="X102" s="464" t="s">
        <v>229</v>
      </c>
      <c r="Y102" s="320" t="s">
        <v>414</v>
      </c>
      <c r="Z102" s="625"/>
      <c r="AA102" s="340"/>
      <c r="AB102" s="715" t="s">
        <v>40</v>
      </c>
      <c r="AC102" s="109" t="s">
        <v>219</v>
      </c>
      <c r="AD102" s="764" t="s">
        <v>220</v>
      </c>
    </row>
    <row r="103" spans="1:30" ht="15.6" customHeight="1">
      <c r="A103" s="73" t="s">
        <v>62</v>
      </c>
      <c r="B103" s="33" t="s">
        <v>62</v>
      </c>
      <c r="C103" s="33" t="s">
        <v>62</v>
      </c>
      <c r="D103" s="33"/>
      <c r="E103" s="33"/>
      <c r="F103" s="33" t="s">
        <v>62</v>
      </c>
      <c r="G103" s="33" t="s">
        <v>62</v>
      </c>
      <c r="H103" s="33" t="s">
        <v>62</v>
      </c>
      <c r="I103" s="1240"/>
      <c r="J103" s="276" t="s">
        <v>41</v>
      </c>
      <c r="K103" s="351" t="s">
        <v>425</v>
      </c>
      <c r="L103" s="363" t="s">
        <v>426</v>
      </c>
      <c r="M103" s="351" t="s">
        <v>427</v>
      </c>
      <c r="N103" s="310" t="s">
        <v>428</v>
      </c>
      <c r="O103" s="1241" t="s">
        <v>40</v>
      </c>
      <c r="P103" s="1241" t="s">
        <v>46</v>
      </c>
      <c r="Q103" s="351" t="s">
        <v>639</v>
      </c>
      <c r="R103" s="351" t="s">
        <v>85</v>
      </c>
      <c r="S103" s="313">
        <v>16</v>
      </c>
      <c r="T103" s="313">
        <v>110</v>
      </c>
      <c r="U103" s="313">
        <v>4</v>
      </c>
      <c r="V103" s="361" t="s">
        <v>50</v>
      </c>
      <c r="W103" s="320" t="s">
        <v>51</v>
      </c>
      <c r="X103" s="463" t="s">
        <v>52</v>
      </c>
      <c r="Y103" s="313" t="s">
        <v>52</v>
      </c>
      <c r="Z103" s="625"/>
      <c r="AA103" s="340"/>
      <c r="AB103" s="714" t="s">
        <v>40</v>
      </c>
      <c r="AC103" t="s">
        <v>53</v>
      </c>
      <c r="AD103" s="764" t="s">
        <v>111</v>
      </c>
    </row>
    <row r="104" spans="1:30" ht="15.6" customHeight="1">
      <c r="A104" s="73" t="s">
        <v>62</v>
      </c>
      <c r="B104" s="33" t="s">
        <v>62</v>
      </c>
      <c r="C104" s="33" t="s">
        <v>62</v>
      </c>
      <c r="D104" s="33"/>
      <c r="E104" s="33"/>
      <c r="F104" s="33" t="s">
        <v>62</v>
      </c>
      <c r="G104" s="33" t="s">
        <v>62</v>
      </c>
      <c r="H104" s="33" t="s">
        <v>62</v>
      </c>
      <c r="I104" s="1240"/>
      <c r="J104" s="277" t="s">
        <v>41</v>
      </c>
      <c r="K104" s="351" t="s">
        <v>701</v>
      </c>
      <c r="L104" s="363" t="s">
        <v>702</v>
      </c>
      <c r="M104" s="351"/>
      <c r="N104" s="310" t="s">
        <v>62</v>
      </c>
      <c r="O104" s="1241" t="s">
        <v>40</v>
      </c>
      <c r="P104" s="1241" t="s">
        <v>46</v>
      </c>
      <c r="Q104" s="1312" t="s">
        <v>680</v>
      </c>
      <c r="R104" s="351" t="s">
        <v>703</v>
      </c>
      <c r="S104" s="313">
        <v>4</v>
      </c>
      <c r="T104" s="313">
        <v>40</v>
      </c>
      <c r="U104" s="313">
        <v>1</v>
      </c>
      <c r="V104" s="361" t="s">
        <v>65</v>
      </c>
      <c r="W104" s="320" t="s">
        <v>200</v>
      </c>
      <c r="X104" s="463" t="s">
        <v>52</v>
      </c>
      <c r="Y104" s="313" t="s">
        <v>52</v>
      </c>
      <c r="Z104" s="625"/>
      <c r="AA104" s="340"/>
      <c r="AB104" s="714" t="s">
        <v>40</v>
      </c>
      <c r="AC104" t="s">
        <v>219</v>
      </c>
      <c r="AD104" s="764" t="s">
        <v>220</v>
      </c>
    </row>
    <row r="105" spans="1:30" s="561" customFormat="1" ht="45" customHeight="1">
      <c r="B105" s="1313"/>
      <c r="C105" s="752"/>
      <c r="D105" s="752"/>
      <c r="E105" s="752"/>
      <c r="F105" s="1313"/>
      <c r="G105" s="752"/>
      <c r="H105" s="752"/>
      <c r="I105" s="1297"/>
      <c r="J105" s="1314" t="s">
        <v>41</v>
      </c>
      <c r="K105" s="558" t="s">
        <v>704</v>
      </c>
      <c r="L105" s="558" t="s">
        <v>705</v>
      </c>
      <c r="M105" s="556" t="s">
        <v>706</v>
      </c>
      <c r="N105" s="556" t="s">
        <v>62</v>
      </c>
      <c r="O105" s="1315" t="s">
        <v>40</v>
      </c>
      <c r="P105" s="1315" t="s">
        <v>46</v>
      </c>
      <c r="Q105" s="556" t="s">
        <v>316</v>
      </c>
      <c r="R105" s="556" t="s">
        <v>707</v>
      </c>
      <c r="S105" s="559" t="s">
        <v>708</v>
      </c>
      <c r="T105" s="559">
        <v>497.27</v>
      </c>
      <c r="U105" s="559">
        <v>8</v>
      </c>
      <c r="V105" s="1304" t="s">
        <v>86</v>
      </c>
      <c r="W105" s="559" t="s">
        <v>51</v>
      </c>
      <c r="X105" s="595" t="s">
        <v>52</v>
      </c>
      <c r="Y105" s="559" t="s">
        <v>52</v>
      </c>
      <c r="Z105" s="556"/>
      <c r="AA105" s="753"/>
      <c r="AB105" s="721" t="s">
        <v>709</v>
      </c>
    </row>
    <row r="106" spans="1:30" s="561" customFormat="1" ht="45.75" customHeight="1">
      <c r="A106" s="553" t="s">
        <v>62</v>
      </c>
      <c r="B106" s="554" t="s">
        <v>62</v>
      </c>
      <c r="C106" s="554" t="s">
        <v>62</v>
      </c>
      <c r="D106" s="554"/>
      <c r="E106" s="554"/>
      <c r="F106" s="554" t="s">
        <v>62</v>
      </c>
      <c r="G106" s="554" t="s">
        <v>62</v>
      </c>
      <c r="H106" s="554" t="s">
        <v>62</v>
      </c>
      <c r="I106" s="1297"/>
      <c r="J106" s="1316" t="s">
        <v>41</v>
      </c>
      <c r="K106" s="754" t="s">
        <v>710</v>
      </c>
      <c r="L106" s="1317" t="s">
        <v>711</v>
      </c>
      <c r="M106" s="754" t="s">
        <v>712</v>
      </c>
      <c r="N106" s="754" t="s">
        <v>62</v>
      </c>
      <c r="O106" s="1315" t="s">
        <v>40</v>
      </c>
      <c r="P106" s="1315" t="s">
        <v>46</v>
      </c>
      <c r="Q106" s="754" t="s">
        <v>641</v>
      </c>
      <c r="R106" s="754" t="s">
        <v>707</v>
      </c>
      <c r="S106" s="1318">
        <v>8</v>
      </c>
      <c r="T106" s="1318">
        <v>500</v>
      </c>
      <c r="U106" s="1318">
        <v>4</v>
      </c>
      <c r="V106" s="560" t="s">
        <v>65</v>
      </c>
      <c r="W106" s="1319" t="s">
        <v>51</v>
      </c>
      <c r="X106" s="1320" t="s">
        <v>52</v>
      </c>
      <c r="Y106" s="1318" t="s">
        <v>52</v>
      </c>
      <c r="Z106" s="754"/>
      <c r="AA106" s="753"/>
      <c r="AB106" s="1321" t="s">
        <v>709</v>
      </c>
    </row>
    <row r="107" spans="1:30" ht="21.75" customHeight="1">
      <c r="A107" s="1642" t="s">
        <v>606</v>
      </c>
      <c r="B107" s="1636" t="s">
        <v>713</v>
      </c>
      <c r="C107" s="1597" t="s">
        <v>445</v>
      </c>
      <c r="D107" s="1586" t="s">
        <v>447</v>
      </c>
      <c r="E107" s="1636" t="s">
        <v>714</v>
      </c>
      <c r="F107" s="1636">
        <v>2</v>
      </c>
      <c r="G107" s="1586" t="s">
        <v>449</v>
      </c>
      <c r="H107" s="1586" t="s">
        <v>40</v>
      </c>
      <c r="I107" s="1599">
        <f>COUNTIF(J107:J109,"=VIRTUAL")</f>
        <v>3</v>
      </c>
      <c r="J107" s="523" t="s">
        <v>41</v>
      </c>
      <c r="K107" s="471" t="s">
        <v>450</v>
      </c>
      <c r="L107" s="591" t="s">
        <v>451</v>
      </c>
      <c r="M107" s="473" t="s">
        <v>452</v>
      </c>
      <c r="N107" s="472" t="s">
        <v>62</v>
      </c>
      <c r="O107" s="1241" t="s">
        <v>40</v>
      </c>
      <c r="P107" s="1241" t="s">
        <v>46</v>
      </c>
      <c r="Q107" s="471" t="s">
        <v>396</v>
      </c>
      <c r="R107" s="471" t="s">
        <v>453</v>
      </c>
      <c r="S107" s="474">
        <v>164</v>
      </c>
      <c r="T107" s="475" t="s">
        <v>62</v>
      </c>
      <c r="U107" s="474">
        <v>16</v>
      </c>
      <c r="V107" s="544" t="s">
        <v>50</v>
      </c>
      <c r="W107" s="414" t="s">
        <v>51</v>
      </c>
      <c r="X107" s="474" t="s">
        <v>206</v>
      </c>
      <c r="Y107" s="474" t="s">
        <v>207</v>
      </c>
      <c r="Z107" s="1806">
        <v>11610</v>
      </c>
      <c r="AA107" s="533"/>
      <c r="AB107" s="722" t="s">
        <v>454</v>
      </c>
      <c r="AD107" s="764" t="s">
        <v>455</v>
      </c>
    </row>
    <row r="108" spans="1:30" ht="21.75" customHeight="1">
      <c r="A108" s="1643"/>
      <c r="B108" s="1568"/>
      <c r="C108" s="1570"/>
      <c r="D108" s="1567"/>
      <c r="E108" s="1568"/>
      <c r="F108" s="1568"/>
      <c r="G108" s="1567"/>
      <c r="H108" s="1567"/>
      <c r="I108" s="1556"/>
      <c r="J108" s="267" t="s">
        <v>41</v>
      </c>
      <c r="K108" s="351" t="s">
        <v>456</v>
      </c>
      <c r="L108" s="379" t="s">
        <v>457</v>
      </c>
      <c r="M108" s="839" t="s">
        <v>458</v>
      </c>
      <c r="N108" s="310" t="s">
        <v>62</v>
      </c>
      <c r="O108" s="1241" t="s">
        <v>40</v>
      </c>
      <c r="P108" s="1241" t="s">
        <v>46</v>
      </c>
      <c r="Q108" s="351" t="s">
        <v>396</v>
      </c>
      <c r="R108" s="351" t="s">
        <v>459</v>
      </c>
      <c r="S108" s="313">
        <v>65</v>
      </c>
      <c r="T108" s="321" t="s">
        <v>62</v>
      </c>
      <c r="U108" s="313">
        <v>12</v>
      </c>
      <c r="V108" s="320" t="s">
        <v>50</v>
      </c>
      <c r="W108" s="320" t="s">
        <v>51</v>
      </c>
      <c r="X108" s="313" t="s">
        <v>206</v>
      </c>
      <c r="Y108" s="313" t="s">
        <v>207</v>
      </c>
      <c r="Z108" s="1807"/>
      <c r="AA108" s="459"/>
      <c r="AB108" s="723" t="s">
        <v>460</v>
      </c>
      <c r="AC108" t="s">
        <v>53</v>
      </c>
      <c r="AD108" s="764" t="s">
        <v>455</v>
      </c>
    </row>
    <row r="109" spans="1:30" ht="21.75" customHeight="1">
      <c r="A109" s="1643"/>
      <c r="B109" s="1568"/>
      <c r="C109" s="1570"/>
      <c r="D109" s="1567"/>
      <c r="E109" s="1568"/>
      <c r="F109" s="1568"/>
      <c r="G109" s="1567"/>
      <c r="H109" s="1567"/>
      <c r="I109" s="1557"/>
      <c r="J109" s="267" t="s">
        <v>41</v>
      </c>
      <c r="K109" s="351" t="s">
        <v>461</v>
      </c>
      <c r="L109" s="379" t="s">
        <v>462</v>
      </c>
      <c r="M109" s="351" t="s">
        <v>463</v>
      </c>
      <c r="N109" s="310" t="s">
        <v>62</v>
      </c>
      <c r="O109" s="1241" t="s">
        <v>40</v>
      </c>
      <c r="P109" s="1241" t="s">
        <v>46</v>
      </c>
      <c r="Q109" s="351" t="s">
        <v>396</v>
      </c>
      <c r="R109" s="351" t="s">
        <v>459</v>
      </c>
      <c r="S109" s="313">
        <v>32</v>
      </c>
      <c r="T109" s="321" t="s">
        <v>62</v>
      </c>
      <c r="U109" s="313">
        <v>10</v>
      </c>
      <c r="V109" s="320" t="s">
        <v>50</v>
      </c>
      <c r="W109" s="320" t="s">
        <v>51</v>
      </c>
      <c r="X109" s="313" t="s">
        <v>206</v>
      </c>
      <c r="Y109" s="313" t="s">
        <v>207</v>
      </c>
      <c r="Z109" s="1807"/>
      <c r="AA109" s="459"/>
      <c r="AB109" s="723" t="s">
        <v>460</v>
      </c>
      <c r="AC109" t="s">
        <v>53</v>
      </c>
      <c r="AD109" s="764" t="s">
        <v>455</v>
      </c>
    </row>
    <row r="110" spans="1:30" ht="21.75" customHeight="1">
      <c r="A110" s="1643"/>
      <c r="B110" s="1568"/>
      <c r="C110" s="1570"/>
      <c r="D110" s="1567"/>
      <c r="E110" s="1568" t="s">
        <v>715</v>
      </c>
      <c r="F110" s="1568"/>
      <c r="G110" s="1567"/>
      <c r="H110" s="1567"/>
      <c r="I110" s="1599">
        <f>COUNTIF(J110:J112,"=VIRTUAL")</f>
        <v>3</v>
      </c>
      <c r="J110" s="267" t="s">
        <v>41</v>
      </c>
      <c r="K110" s="351" t="s">
        <v>465</v>
      </c>
      <c r="L110" s="379" t="s">
        <v>466</v>
      </c>
      <c r="M110" s="365" t="s">
        <v>467</v>
      </c>
      <c r="N110" s="310" t="s">
        <v>62</v>
      </c>
      <c r="O110" s="1241" t="s">
        <v>40</v>
      </c>
      <c r="P110" s="1241" t="s">
        <v>46</v>
      </c>
      <c r="Q110" s="351" t="s">
        <v>396</v>
      </c>
      <c r="R110" s="351" t="s">
        <v>453</v>
      </c>
      <c r="S110" s="313">
        <v>164</v>
      </c>
      <c r="T110" s="321" t="s">
        <v>62</v>
      </c>
      <c r="U110" s="313">
        <v>16</v>
      </c>
      <c r="V110" s="320" t="s">
        <v>50</v>
      </c>
      <c r="W110" s="320" t="s">
        <v>51</v>
      </c>
      <c r="X110" s="313" t="s">
        <v>206</v>
      </c>
      <c r="Y110" s="313" t="s">
        <v>207</v>
      </c>
      <c r="Z110" s="1807"/>
      <c r="AA110" s="459"/>
      <c r="AB110" s="723" t="s">
        <v>454</v>
      </c>
      <c r="AD110" s="764" t="s">
        <v>455</v>
      </c>
    </row>
    <row r="111" spans="1:30" ht="21.75" customHeight="1">
      <c r="A111" s="1643"/>
      <c r="B111" s="1568"/>
      <c r="C111" s="1570"/>
      <c r="D111" s="1567"/>
      <c r="E111" s="1568"/>
      <c r="F111" s="1568"/>
      <c r="G111" s="1567"/>
      <c r="H111" s="1567"/>
      <c r="I111" s="1556"/>
      <c r="J111" s="267" t="s">
        <v>41</v>
      </c>
      <c r="K111" s="351" t="s">
        <v>468</v>
      </c>
      <c r="L111" s="379" t="s">
        <v>469</v>
      </c>
      <c r="M111" s="351" t="s">
        <v>470</v>
      </c>
      <c r="N111" s="310" t="s">
        <v>62</v>
      </c>
      <c r="O111" s="1241" t="s">
        <v>40</v>
      </c>
      <c r="P111" s="1241" t="s">
        <v>46</v>
      </c>
      <c r="Q111" s="351" t="s">
        <v>396</v>
      </c>
      <c r="R111" s="351" t="s">
        <v>459</v>
      </c>
      <c r="S111" s="313">
        <v>98</v>
      </c>
      <c r="T111" s="321" t="s">
        <v>62</v>
      </c>
      <c r="U111" s="313">
        <v>12</v>
      </c>
      <c r="V111" s="320" t="s">
        <v>50</v>
      </c>
      <c r="W111" s="320" t="s">
        <v>51</v>
      </c>
      <c r="X111" s="313" t="s">
        <v>52</v>
      </c>
      <c r="Y111" s="313" t="s">
        <v>52</v>
      </c>
      <c r="Z111" s="1807"/>
      <c r="AA111" s="459"/>
      <c r="AB111" s="723" t="s">
        <v>460</v>
      </c>
      <c r="AC111" t="s">
        <v>53</v>
      </c>
      <c r="AD111" s="764" t="s">
        <v>455</v>
      </c>
    </row>
    <row r="112" spans="1:30" ht="21.75" customHeight="1">
      <c r="A112" s="1644"/>
      <c r="B112" s="1637"/>
      <c r="C112" s="1634"/>
      <c r="D112" s="1635"/>
      <c r="E112" s="1637"/>
      <c r="F112" s="1637"/>
      <c r="G112" s="1635"/>
      <c r="H112" s="1635"/>
      <c r="I112" s="1633"/>
      <c r="J112" s="524" t="s">
        <v>41</v>
      </c>
      <c r="K112" s="476" t="s">
        <v>471</v>
      </c>
      <c r="L112" s="592" t="s">
        <v>462</v>
      </c>
      <c r="M112" s="476"/>
      <c r="N112" s="477" t="s">
        <v>62</v>
      </c>
      <c r="O112" s="1241" t="s">
        <v>40</v>
      </c>
      <c r="P112" s="1241" t="s">
        <v>46</v>
      </c>
      <c r="Q112" s="476" t="s">
        <v>396</v>
      </c>
      <c r="R112" s="476" t="s">
        <v>459</v>
      </c>
      <c r="S112" s="478">
        <v>32</v>
      </c>
      <c r="T112" s="479" t="s">
        <v>62</v>
      </c>
      <c r="U112" s="478">
        <v>10</v>
      </c>
      <c r="V112" s="545" t="s">
        <v>50</v>
      </c>
      <c r="W112" s="545" t="s">
        <v>51</v>
      </c>
      <c r="X112" s="478" t="s">
        <v>52</v>
      </c>
      <c r="Y112" s="478" t="s">
        <v>52</v>
      </c>
      <c r="Z112" s="1808"/>
      <c r="AA112" s="534"/>
      <c r="AB112" s="724" t="s">
        <v>460</v>
      </c>
      <c r="AC112" t="s">
        <v>53</v>
      </c>
      <c r="AD112" s="764" t="s">
        <v>455</v>
      </c>
    </row>
    <row r="113" spans="1:28" ht="75.75" customHeight="1">
      <c r="A113" s="1599" t="s">
        <v>606</v>
      </c>
      <c r="B113" s="1599" t="s">
        <v>474</v>
      </c>
      <c r="C113" s="423" t="s">
        <v>475</v>
      </c>
      <c r="D113" s="404" t="s">
        <v>476</v>
      </c>
      <c r="E113" s="466" t="s">
        <v>477</v>
      </c>
      <c r="F113" s="1597">
        <v>3</v>
      </c>
      <c r="G113" s="467" t="s">
        <v>478</v>
      </c>
      <c r="H113" s="468" t="s">
        <v>40</v>
      </c>
      <c r="I113" s="1638">
        <f>COUNTIF(J113:J123,"=VIRTUAL")</f>
        <v>11</v>
      </c>
      <c r="J113" s="277" t="s">
        <v>41</v>
      </c>
      <c r="K113" s="418" t="s">
        <v>716</v>
      </c>
      <c r="L113" s="1640" t="s">
        <v>717</v>
      </c>
      <c r="M113" s="469" t="s">
        <v>718</v>
      </c>
      <c r="N113" s="465" t="s">
        <v>62</v>
      </c>
      <c r="O113" s="1241" t="s">
        <v>40</v>
      </c>
      <c r="P113" s="1241" t="s">
        <v>46</v>
      </c>
      <c r="Q113" s="438" t="s">
        <v>719</v>
      </c>
      <c r="R113" s="438" t="s">
        <v>661</v>
      </c>
      <c r="S113" s="414">
        <v>24</v>
      </c>
      <c r="T113" s="414">
        <v>174.11</v>
      </c>
      <c r="U113" s="414">
        <v>4</v>
      </c>
      <c r="V113" s="470" t="s">
        <v>50</v>
      </c>
      <c r="W113" s="320" t="s">
        <v>51</v>
      </c>
      <c r="X113" s="367" t="s">
        <v>52</v>
      </c>
      <c r="Y113" s="367" t="s">
        <v>52</v>
      </c>
      <c r="Z113" s="438" t="s">
        <v>720</v>
      </c>
      <c r="AA113" s="438"/>
      <c r="AB113" s="725" t="s">
        <v>40</v>
      </c>
    </row>
    <row r="114" spans="1:28" ht="75">
      <c r="A114" s="1556"/>
      <c r="B114" s="1556"/>
      <c r="C114" s="423" t="s">
        <v>475</v>
      </c>
      <c r="D114" s="267" t="s">
        <v>480</v>
      </c>
      <c r="E114" s="402" t="s">
        <v>481</v>
      </c>
      <c r="F114" s="1570"/>
      <c r="G114" s="399" t="s">
        <v>478</v>
      </c>
      <c r="H114" s="400" t="s">
        <v>40</v>
      </c>
      <c r="I114" s="1638"/>
      <c r="J114" s="276" t="s">
        <v>41</v>
      </c>
      <c r="K114" s="363" t="s">
        <v>721</v>
      </c>
      <c r="L114" s="1640"/>
      <c r="M114" s="351" t="s">
        <v>722</v>
      </c>
      <c r="N114" s="322" t="s">
        <v>62</v>
      </c>
      <c r="O114" s="1241" t="s">
        <v>40</v>
      </c>
      <c r="P114" s="1241" t="s">
        <v>46</v>
      </c>
      <c r="Q114" s="351" t="s">
        <v>719</v>
      </c>
      <c r="R114" s="351" t="s">
        <v>661</v>
      </c>
      <c r="S114" s="320">
        <v>16</v>
      </c>
      <c r="T114" s="320">
        <v>166.11</v>
      </c>
      <c r="U114" s="320">
        <v>4</v>
      </c>
      <c r="V114" s="464" t="s">
        <v>50</v>
      </c>
      <c r="W114" s="320" t="s">
        <v>51</v>
      </c>
      <c r="X114" s="313" t="s">
        <v>52</v>
      </c>
      <c r="Y114" s="313" t="s">
        <v>52</v>
      </c>
      <c r="Z114" s="351"/>
      <c r="AA114" s="351"/>
      <c r="AB114" s="717" t="s">
        <v>40</v>
      </c>
    </row>
    <row r="115" spans="1:28" ht="75">
      <c r="A115" s="1556"/>
      <c r="B115" s="1556"/>
      <c r="C115" s="423" t="s">
        <v>475</v>
      </c>
      <c r="D115" s="267" t="s">
        <v>482</v>
      </c>
      <c r="E115" s="402" t="s">
        <v>483</v>
      </c>
      <c r="F115" s="1571"/>
      <c r="G115" s="399" t="s">
        <v>478</v>
      </c>
      <c r="H115" s="401" t="s">
        <v>40</v>
      </c>
      <c r="I115" s="1638"/>
      <c r="J115" s="276" t="s">
        <v>41</v>
      </c>
      <c r="K115" s="363" t="s">
        <v>723</v>
      </c>
      <c r="L115" s="1640"/>
      <c r="M115" s="351" t="s">
        <v>724</v>
      </c>
      <c r="N115" s="322" t="s">
        <v>62</v>
      </c>
      <c r="O115" s="1241" t="s">
        <v>40</v>
      </c>
      <c r="P115" s="1241" t="s">
        <v>46</v>
      </c>
      <c r="Q115" s="351" t="s">
        <v>719</v>
      </c>
      <c r="R115" s="351" t="s">
        <v>661</v>
      </c>
      <c r="S115" s="320">
        <v>24</v>
      </c>
      <c r="T115" s="320">
        <v>224.11</v>
      </c>
      <c r="U115" s="320">
        <v>4</v>
      </c>
      <c r="V115" s="464" t="s">
        <v>50</v>
      </c>
      <c r="W115" s="320" t="s">
        <v>51</v>
      </c>
      <c r="X115" s="313" t="s">
        <v>52</v>
      </c>
      <c r="Y115" s="313" t="s">
        <v>52</v>
      </c>
      <c r="Z115" s="351"/>
      <c r="AA115" s="351"/>
      <c r="AB115" s="717" t="s">
        <v>40</v>
      </c>
    </row>
    <row r="116" spans="1:28" ht="15.75">
      <c r="A116" s="1556"/>
      <c r="B116" s="1556"/>
      <c r="C116" s="33" t="s">
        <v>62</v>
      </c>
      <c r="D116" s="33"/>
      <c r="E116" s="33"/>
      <c r="F116" s="33" t="s">
        <v>62</v>
      </c>
      <c r="G116" s="33" t="s">
        <v>62</v>
      </c>
      <c r="H116" s="33" t="s">
        <v>62</v>
      </c>
      <c r="I116" s="1638"/>
      <c r="J116" s="276" t="s">
        <v>41</v>
      </c>
      <c r="K116" s="351" t="s">
        <v>725</v>
      </c>
      <c r="L116" s="1640"/>
      <c r="M116" s="351" t="s">
        <v>726</v>
      </c>
      <c r="N116" s="322" t="s">
        <v>62</v>
      </c>
      <c r="O116" s="1241" t="s">
        <v>40</v>
      </c>
      <c r="P116" s="1241" t="s">
        <v>46</v>
      </c>
      <c r="Q116" s="351" t="s">
        <v>719</v>
      </c>
      <c r="R116" s="351" t="s">
        <v>661</v>
      </c>
      <c r="S116" s="320">
        <v>24</v>
      </c>
      <c r="T116" s="320">
        <v>224.11</v>
      </c>
      <c r="U116" s="320">
        <v>4</v>
      </c>
      <c r="V116" s="464" t="s">
        <v>50</v>
      </c>
      <c r="W116" s="320" t="s">
        <v>51</v>
      </c>
      <c r="X116" s="313" t="s">
        <v>52</v>
      </c>
      <c r="Y116" s="313" t="s">
        <v>52</v>
      </c>
      <c r="Z116" s="351"/>
      <c r="AA116" s="351"/>
      <c r="AB116" s="717" t="s">
        <v>40</v>
      </c>
    </row>
    <row r="117" spans="1:28" ht="15.75">
      <c r="A117" s="1556"/>
      <c r="B117" s="1556"/>
      <c r="C117" s="33" t="s">
        <v>62</v>
      </c>
      <c r="D117" s="33"/>
      <c r="E117" s="33"/>
      <c r="F117" s="33"/>
      <c r="G117" s="33" t="s">
        <v>62</v>
      </c>
      <c r="H117" s="33" t="s">
        <v>62</v>
      </c>
      <c r="I117" s="1638"/>
      <c r="J117" s="276" t="s">
        <v>41</v>
      </c>
      <c r="K117" s="351" t="s">
        <v>727</v>
      </c>
      <c r="L117" s="1640"/>
      <c r="M117" s="351" t="s">
        <v>728</v>
      </c>
      <c r="N117" s="322" t="s">
        <v>62</v>
      </c>
      <c r="O117" s="1241" t="s">
        <v>40</v>
      </c>
      <c r="P117" s="1241" t="s">
        <v>46</v>
      </c>
      <c r="Q117" s="351" t="s">
        <v>719</v>
      </c>
      <c r="R117" s="351" t="s">
        <v>661</v>
      </c>
      <c r="S117" s="320">
        <v>16</v>
      </c>
      <c r="T117" s="320">
        <v>166.11</v>
      </c>
      <c r="U117" s="320">
        <v>4</v>
      </c>
      <c r="V117" s="464" t="s">
        <v>50</v>
      </c>
      <c r="W117" s="320" t="s">
        <v>51</v>
      </c>
      <c r="X117" s="313" t="s">
        <v>52</v>
      </c>
      <c r="Y117" s="313" t="s">
        <v>52</v>
      </c>
      <c r="Z117" s="351"/>
      <c r="AA117" s="351"/>
      <c r="AB117" s="717" t="s">
        <v>40</v>
      </c>
    </row>
    <row r="118" spans="1:28" ht="15.75">
      <c r="A118" s="1556"/>
      <c r="B118" s="1556"/>
      <c r="C118" s="33" t="s">
        <v>62</v>
      </c>
      <c r="D118" s="33"/>
      <c r="E118" s="33"/>
      <c r="F118" s="33"/>
      <c r="G118" s="33" t="s">
        <v>62</v>
      </c>
      <c r="H118" s="33" t="s">
        <v>62</v>
      </c>
      <c r="I118" s="1638"/>
      <c r="J118" s="276" t="s">
        <v>41</v>
      </c>
      <c r="K118" s="351" t="s">
        <v>729</v>
      </c>
      <c r="L118" s="1640"/>
      <c r="M118" s="351" t="s">
        <v>730</v>
      </c>
      <c r="N118" s="322" t="s">
        <v>62</v>
      </c>
      <c r="O118" s="1241" t="s">
        <v>40</v>
      </c>
      <c r="P118" s="1241" t="s">
        <v>46</v>
      </c>
      <c r="Q118" s="351" t="s">
        <v>719</v>
      </c>
      <c r="R118" s="351" t="s">
        <v>661</v>
      </c>
      <c r="S118" s="313">
        <v>24</v>
      </c>
      <c r="T118" s="320">
        <v>174.11</v>
      </c>
      <c r="U118" s="320">
        <v>4</v>
      </c>
      <c r="V118" s="464" t="s">
        <v>50</v>
      </c>
      <c r="W118" s="320" t="s">
        <v>51</v>
      </c>
      <c r="X118" s="313" t="s">
        <v>52</v>
      </c>
      <c r="Y118" s="313" t="s">
        <v>52</v>
      </c>
      <c r="Z118" s="351"/>
      <c r="AA118" s="351"/>
      <c r="AB118" s="717" t="s">
        <v>40</v>
      </c>
    </row>
    <row r="119" spans="1:28" ht="15.75">
      <c r="A119" s="1556"/>
      <c r="B119" s="1556"/>
      <c r="C119" s="33" t="s">
        <v>62</v>
      </c>
      <c r="D119" s="33"/>
      <c r="E119" s="33"/>
      <c r="F119" s="33"/>
      <c r="G119" s="33" t="s">
        <v>62</v>
      </c>
      <c r="H119" s="33" t="s">
        <v>62</v>
      </c>
      <c r="I119" s="1638"/>
      <c r="J119" s="276" t="s">
        <v>41</v>
      </c>
      <c r="K119" s="351" t="s">
        <v>731</v>
      </c>
      <c r="L119" s="1640"/>
      <c r="M119" s="351" t="s">
        <v>732</v>
      </c>
      <c r="N119" s="322" t="s">
        <v>62</v>
      </c>
      <c r="O119" s="1241" t="s">
        <v>40</v>
      </c>
      <c r="P119" s="1241" t="s">
        <v>46</v>
      </c>
      <c r="Q119" s="351" t="s">
        <v>719</v>
      </c>
      <c r="R119" s="351" t="s">
        <v>661</v>
      </c>
      <c r="S119" s="313">
        <v>24</v>
      </c>
      <c r="T119" s="320">
        <v>224.11</v>
      </c>
      <c r="U119" s="320">
        <v>4</v>
      </c>
      <c r="V119" s="464" t="s">
        <v>50</v>
      </c>
      <c r="W119" s="320" t="s">
        <v>51</v>
      </c>
      <c r="X119" s="313" t="s">
        <v>52</v>
      </c>
      <c r="Y119" s="313" t="s">
        <v>52</v>
      </c>
      <c r="Z119" s="351"/>
      <c r="AA119" s="351"/>
      <c r="AB119" s="717" t="s">
        <v>40</v>
      </c>
    </row>
    <row r="120" spans="1:28" ht="15.75">
      <c r="A120" s="1556"/>
      <c r="B120" s="1556"/>
      <c r="C120" s="33" t="s">
        <v>62</v>
      </c>
      <c r="D120" s="33"/>
      <c r="E120" s="33"/>
      <c r="F120" s="33"/>
      <c r="G120" s="33" t="s">
        <v>62</v>
      </c>
      <c r="H120" s="33" t="s">
        <v>62</v>
      </c>
      <c r="I120" s="1638"/>
      <c r="J120" s="276" t="s">
        <v>41</v>
      </c>
      <c r="K120" s="351" t="s">
        <v>733</v>
      </c>
      <c r="L120" s="1640"/>
      <c r="M120" s="351" t="s">
        <v>734</v>
      </c>
      <c r="N120" s="322" t="s">
        <v>62</v>
      </c>
      <c r="O120" s="1241" t="s">
        <v>40</v>
      </c>
      <c r="P120" s="1241" t="s">
        <v>46</v>
      </c>
      <c r="Q120" s="351" t="s">
        <v>719</v>
      </c>
      <c r="R120" s="351" t="s">
        <v>661</v>
      </c>
      <c r="S120" s="313">
        <v>24</v>
      </c>
      <c r="T120" s="320">
        <v>224.11</v>
      </c>
      <c r="U120" s="320">
        <v>4</v>
      </c>
      <c r="V120" s="464" t="s">
        <v>50</v>
      </c>
      <c r="W120" s="320" t="s">
        <v>51</v>
      </c>
      <c r="X120" s="313" t="s">
        <v>52</v>
      </c>
      <c r="Y120" s="313" t="s">
        <v>52</v>
      </c>
      <c r="Z120" s="351"/>
      <c r="AA120" s="351"/>
      <c r="AB120" s="717" t="s">
        <v>40</v>
      </c>
    </row>
    <row r="121" spans="1:28" ht="15.75">
      <c r="A121" s="1556"/>
      <c r="B121" s="1556"/>
      <c r="C121" s="33" t="s">
        <v>62</v>
      </c>
      <c r="D121" s="33"/>
      <c r="E121" s="33"/>
      <c r="F121" s="33"/>
      <c r="G121" s="33" t="s">
        <v>62</v>
      </c>
      <c r="H121" s="33" t="s">
        <v>62</v>
      </c>
      <c r="I121" s="1638"/>
      <c r="J121" s="276" t="s">
        <v>41</v>
      </c>
      <c r="K121" s="351" t="s">
        <v>735</v>
      </c>
      <c r="L121" s="1640"/>
      <c r="M121" s="351" t="s">
        <v>736</v>
      </c>
      <c r="N121" s="322" t="s">
        <v>62</v>
      </c>
      <c r="O121" s="1241" t="s">
        <v>40</v>
      </c>
      <c r="P121" s="1241" t="s">
        <v>46</v>
      </c>
      <c r="Q121" s="351" t="s">
        <v>719</v>
      </c>
      <c r="R121" s="351" t="s">
        <v>661</v>
      </c>
      <c r="S121" s="313">
        <v>24</v>
      </c>
      <c r="T121" s="320">
        <v>174.11</v>
      </c>
      <c r="U121" s="313">
        <v>4</v>
      </c>
      <c r="V121" s="464" t="s">
        <v>50</v>
      </c>
      <c r="W121" s="320" t="s">
        <v>51</v>
      </c>
      <c r="X121" s="313" t="s">
        <v>52</v>
      </c>
      <c r="Y121" s="313" t="s">
        <v>52</v>
      </c>
      <c r="Z121" s="351"/>
      <c r="AA121" s="351"/>
      <c r="AB121" s="717" t="s">
        <v>40</v>
      </c>
    </row>
    <row r="122" spans="1:28" ht="15.75">
      <c r="A122" s="1556"/>
      <c r="B122" s="1556"/>
      <c r="C122" s="33" t="s">
        <v>62</v>
      </c>
      <c r="D122" s="33"/>
      <c r="E122" s="33"/>
      <c r="F122" s="33"/>
      <c r="G122" s="33" t="s">
        <v>62</v>
      </c>
      <c r="H122" s="33" t="s">
        <v>62</v>
      </c>
      <c r="I122" s="1638"/>
      <c r="J122" s="276" t="s">
        <v>41</v>
      </c>
      <c r="K122" s="351" t="s">
        <v>737</v>
      </c>
      <c r="L122" s="1640"/>
      <c r="M122" s="351" t="s">
        <v>738</v>
      </c>
      <c r="N122" s="322" t="s">
        <v>62</v>
      </c>
      <c r="O122" s="1241" t="s">
        <v>40</v>
      </c>
      <c r="P122" s="1241" t="s">
        <v>46</v>
      </c>
      <c r="Q122" s="351" t="s">
        <v>719</v>
      </c>
      <c r="R122" s="351" t="s">
        <v>661</v>
      </c>
      <c r="S122" s="313">
        <v>16</v>
      </c>
      <c r="T122" s="320">
        <v>166.11</v>
      </c>
      <c r="U122" s="313">
        <v>4</v>
      </c>
      <c r="V122" s="464" t="s">
        <v>50</v>
      </c>
      <c r="W122" s="320" t="s">
        <v>51</v>
      </c>
      <c r="X122" s="313" t="s">
        <v>52</v>
      </c>
      <c r="Y122" s="313" t="s">
        <v>52</v>
      </c>
      <c r="Z122" s="351"/>
      <c r="AA122" s="351"/>
      <c r="AB122" s="717" t="s">
        <v>40</v>
      </c>
    </row>
    <row r="123" spans="1:28" ht="15.75">
      <c r="A123" s="1556"/>
      <c r="B123" s="1556"/>
      <c r="C123" s="33" t="s">
        <v>62</v>
      </c>
      <c r="D123" s="33"/>
      <c r="E123" s="33"/>
      <c r="F123" s="33"/>
      <c r="G123" s="33" t="s">
        <v>62</v>
      </c>
      <c r="H123" s="33" t="s">
        <v>62</v>
      </c>
      <c r="I123" s="1639"/>
      <c r="J123" s="276" t="s">
        <v>41</v>
      </c>
      <c r="K123" s="351" t="s">
        <v>739</v>
      </c>
      <c r="L123" s="1641"/>
      <c r="M123" s="351" t="s">
        <v>740</v>
      </c>
      <c r="N123" s="322" t="s">
        <v>62</v>
      </c>
      <c r="O123" s="1241" t="s">
        <v>40</v>
      </c>
      <c r="P123" s="1241" t="s">
        <v>46</v>
      </c>
      <c r="Q123" s="351" t="s">
        <v>719</v>
      </c>
      <c r="R123" s="351" t="s">
        <v>661</v>
      </c>
      <c r="S123" s="313">
        <v>24</v>
      </c>
      <c r="T123" s="320">
        <v>174.11</v>
      </c>
      <c r="U123" s="313">
        <v>4</v>
      </c>
      <c r="V123" s="464" t="s">
        <v>50</v>
      </c>
      <c r="W123" s="320" t="s">
        <v>51</v>
      </c>
      <c r="X123" s="313" t="s">
        <v>52</v>
      </c>
      <c r="Y123" s="313" t="s">
        <v>52</v>
      </c>
      <c r="Z123" s="351"/>
      <c r="AA123" s="351"/>
      <c r="AB123" s="717" t="s">
        <v>40</v>
      </c>
    </row>
    <row r="124" spans="1:28" ht="15.75">
      <c r="A124" s="1556"/>
      <c r="B124" s="1556"/>
      <c r="C124" s="33"/>
      <c r="D124" s="33"/>
      <c r="E124" s="33"/>
      <c r="F124" s="33"/>
      <c r="G124" s="33"/>
      <c r="H124" s="33"/>
      <c r="I124" s="1555">
        <f>COUNTIF(J124:J149,"=VIRTUAL")</f>
        <v>26</v>
      </c>
      <c r="J124" s="278" t="s">
        <v>41</v>
      </c>
      <c r="K124" s="345" t="s">
        <v>741</v>
      </c>
      <c r="L124" s="1630" t="s">
        <v>742</v>
      </c>
      <c r="M124" s="345" t="s">
        <v>743</v>
      </c>
      <c r="N124" s="465"/>
      <c r="O124" s="1241" t="s">
        <v>40</v>
      </c>
      <c r="P124" s="1241" t="s">
        <v>46</v>
      </c>
      <c r="Q124" s="438" t="s">
        <v>719</v>
      </c>
      <c r="R124" s="345" t="s">
        <v>744</v>
      </c>
      <c r="S124" s="346">
        <v>16</v>
      </c>
      <c r="T124" s="350">
        <v>150</v>
      </c>
      <c r="U124" s="350">
        <v>4</v>
      </c>
      <c r="V124" s="320" t="s">
        <v>50</v>
      </c>
      <c r="W124" s="320" t="s">
        <v>51</v>
      </c>
      <c r="X124" s="313"/>
      <c r="Y124" s="313"/>
      <c r="Z124" s="351"/>
      <c r="AA124" s="351"/>
      <c r="AB124" s="717"/>
    </row>
    <row r="125" spans="1:28" ht="15.75">
      <c r="A125" s="1556"/>
      <c r="B125" s="1556"/>
      <c r="C125" s="33"/>
      <c r="D125" s="33"/>
      <c r="E125" s="33"/>
      <c r="F125" s="33"/>
      <c r="G125" s="33"/>
      <c r="H125" s="33"/>
      <c r="I125" s="1556"/>
      <c r="J125" s="278" t="s">
        <v>41</v>
      </c>
      <c r="K125" s="345" t="s">
        <v>745</v>
      </c>
      <c r="L125" s="1631"/>
      <c r="M125" s="345" t="s">
        <v>746</v>
      </c>
      <c r="N125" s="465"/>
      <c r="O125" s="1241" t="s">
        <v>40</v>
      </c>
      <c r="P125" s="1241" t="s">
        <v>46</v>
      </c>
      <c r="Q125" s="438" t="s">
        <v>719</v>
      </c>
      <c r="R125" s="345" t="s">
        <v>744</v>
      </c>
      <c r="S125" s="346">
        <v>16</v>
      </c>
      <c r="T125" s="350">
        <v>150</v>
      </c>
      <c r="U125" s="350">
        <v>4</v>
      </c>
      <c r="V125" s="320" t="s">
        <v>50</v>
      </c>
      <c r="W125" s="320" t="s">
        <v>51</v>
      </c>
      <c r="X125" s="313"/>
      <c r="Y125" s="313"/>
      <c r="Z125" s="351"/>
      <c r="AA125" s="351"/>
      <c r="AB125" s="717"/>
    </row>
    <row r="126" spans="1:28" ht="15.75">
      <c r="A126" s="1556"/>
      <c r="B126" s="1556"/>
      <c r="C126" s="33"/>
      <c r="D126" s="33"/>
      <c r="E126" s="33"/>
      <c r="F126" s="33"/>
      <c r="G126" s="33"/>
      <c r="H126" s="33"/>
      <c r="I126" s="1556"/>
      <c r="J126" s="278" t="s">
        <v>41</v>
      </c>
      <c r="K126" s="345" t="s">
        <v>747</v>
      </c>
      <c r="L126" s="1631"/>
      <c r="M126" s="345" t="s">
        <v>748</v>
      </c>
      <c r="N126" s="465"/>
      <c r="O126" s="1241" t="s">
        <v>40</v>
      </c>
      <c r="P126" s="1241" t="s">
        <v>46</v>
      </c>
      <c r="Q126" s="438" t="s">
        <v>719</v>
      </c>
      <c r="R126" s="345" t="s">
        <v>64</v>
      </c>
      <c r="S126" s="346">
        <v>24</v>
      </c>
      <c r="T126" s="350">
        <v>200</v>
      </c>
      <c r="U126" s="350">
        <v>4</v>
      </c>
      <c r="V126" s="320" t="s">
        <v>50</v>
      </c>
      <c r="W126" s="320" t="s">
        <v>51</v>
      </c>
      <c r="X126" s="313"/>
      <c r="Y126" s="313"/>
      <c r="Z126" s="351"/>
      <c r="AA126" s="351"/>
      <c r="AB126" s="717"/>
    </row>
    <row r="127" spans="1:28" ht="15.75">
      <c r="A127" s="1556"/>
      <c r="B127" s="1556"/>
      <c r="C127" s="33"/>
      <c r="D127" s="33"/>
      <c r="E127" s="33"/>
      <c r="F127" s="35"/>
      <c r="G127" s="33"/>
      <c r="H127" s="33"/>
      <c r="I127" s="1556"/>
      <c r="J127" s="278" t="s">
        <v>41</v>
      </c>
      <c r="K127" s="345" t="s">
        <v>749</v>
      </c>
      <c r="L127" s="1631"/>
      <c r="M127" s="345" t="s">
        <v>750</v>
      </c>
      <c r="N127" s="322"/>
      <c r="O127" s="1241" t="s">
        <v>40</v>
      </c>
      <c r="P127" s="1241" t="s">
        <v>46</v>
      </c>
      <c r="Q127" s="351" t="s">
        <v>719</v>
      </c>
      <c r="R127" s="345" t="s">
        <v>64</v>
      </c>
      <c r="S127" s="346">
        <v>24</v>
      </c>
      <c r="T127" s="350">
        <v>146</v>
      </c>
      <c r="U127" s="350">
        <v>24</v>
      </c>
      <c r="V127" s="320" t="s">
        <v>50</v>
      </c>
      <c r="W127" s="320" t="s">
        <v>51</v>
      </c>
      <c r="X127" s="313"/>
      <c r="Y127" s="313"/>
      <c r="Z127" s="351"/>
      <c r="AA127" s="351"/>
      <c r="AB127" s="717"/>
    </row>
    <row r="128" spans="1:28" ht="15.75">
      <c r="A128" s="1556"/>
      <c r="B128" s="1556"/>
      <c r="C128" s="33"/>
      <c r="D128" s="33"/>
      <c r="E128" s="33"/>
      <c r="F128" s="35"/>
      <c r="G128" s="33"/>
      <c r="H128" s="33"/>
      <c r="I128" s="1556"/>
      <c r="J128" s="278" t="s">
        <v>41</v>
      </c>
      <c r="K128" s="345" t="s">
        <v>751</v>
      </c>
      <c r="L128" s="1631"/>
      <c r="M128" s="345" t="s">
        <v>752</v>
      </c>
      <c r="N128" s="322"/>
      <c r="O128" s="1241" t="s">
        <v>40</v>
      </c>
      <c r="P128" s="1241" t="s">
        <v>46</v>
      </c>
      <c r="Q128" s="351" t="s">
        <v>719</v>
      </c>
      <c r="R128" s="345" t="s">
        <v>651</v>
      </c>
      <c r="S128" s="346">
        <v>12.74</v>
      </c>
      <c r="T128" s="350">
        <v>516.11</v>
      </c>
      <c r="U128" s="350">
        <v>8</v>
      </c>
      <c r="V128" s="320" t="s">
        <v>50</v>
      </c>
      <c r="W128" s="320" t="s">
        <v>51</v>
      </c>
      <c r="X128" s="313"/>
      <c r="Y128" s="313"/>
      <c r="Z128" s="351"/>
      <c r="AA128" s="351"/>
      <c r="AB128" s="717"/>
    </row>
    <row r="129" spans="1:28" ht="15.75">
      <c r="A129" s="1556"/>
      <c r="B129" s="1556"/>
      <c r="C129" s="33"/>
      <c r="D129" s="33"/>
      <c r="E129" s="33"/>
      <c r="F129" s="35"/>
      <c r="G129" s="33"/>
      <c r="H129" s="33"/>
      <c r="I129" s="1556"/>
      <c r="J129" s="278" t="s">
        <v>41</v>
      </c>
      <c r="K129" s="345" t="s">
        <v>753</v>
      </c>
      <c r="L129" s="1631"/>
      <c r="M129" s="345" t="s">
        <v>754</v>
      </c>
      <c r="N129" s="322"/>
      <c r="O129" s="678" t="s">
        <v>46</v>
      </c>
      <c r="P129" s="678" t="s">
        <v>40</v>
      </c>
      <c r="Q129" s="351" t="s">
        <v>719</v>
      </c>
      <c r="R129" s="345" t="s">
        <v>116</v>
      </c>
      <c r="S129" s="346">
        <v>24</v>
      </c>
      <c r="T129" s="350">
        <v>500</v>
      </c>
      <c r="U129" s="350">
        <v>6</v>
      </c>
      <c r="V129" s="320" t="s">
        <v>50</v>
      </c>
      <c r="W129" s="320" t="s">
        <v>51</v>
      </c>
      <c r="X129" s="313"/>
      <c r="Y129" s="313"/>
      <c r="Z129" s="351"/>
      <c r="AA129" s="351"/>
      <c r="AB129" s="717"/>
    </row>
    <row r="130" spans="1:28" ht="15.75">
      <c r="A130" s="1556"/>
      <c r="B130" s="1556"/>
      <c r="C130" s="33"/>
      <c r="D130" s="33"/>
      <c r="E130" s="33"/>
      <c r="F130" s="35"/>
      <c r="G130" s="33"/>
      <c r="H130" s="33"/>
      <c r="I130" s="1556"/>
      <c r="J130" s="278" t="s">
        <v>41</v>
      </c>
      <c r="K130" s="345" t="s">
        <v>755</v>
      </c>
      <c r="L130" s="1631"/>
      <c r="M130" s="347" t="s">
        <v>756</v>
      </c>
      <c r="N130" s="322"/>
      <c r="O130" s="1241" t="s">
        <v>40</v>
      </c>
      <c r="P130" s="1241" t="s">
        <v>46</v>
      </c>
      <c r="Q130" s="351" t="s">
        <v>719</v>
      </c>
      <c r="R130" s="347" t="s">
        <v>64</v>
      </c>
      <c r="S130" s="348">
        <v>12.07</v>
      </c>
      <c r="T130" s="349">
        <v>162.11000000000001</v>
      </c>
      <c r="U130" s="349">
        <v>4</v>
      </c>
      <c r="V130" s="320" t="s">
        <v>50</v>
      </c>
      <c r="W130" s="320" t="s">
        <v>51</v>
      </c>
      <c r="X130" s="313"/>
      <c r="Y130" s="313"/>
      <c r="Z130" s="351"/>
      <c r="AA130" s="351"/>
      <c r="AB130" s="717"/>
    </row>
    <row r="131" spans="1:28" ht="15.75">
      <c r="A131" s="1556"/>
      <c r="B131" s="1556"/>
      <c r="C131" s="33"/>
      <c r="D131" s="33"/>
      <c r="E131" s="33"/>
      <c r="F131" s="35"/>
      <c r="G131" s="33"/>
      <c r="H131" s="33"/>
      <c r="I131" s="1556"/>
      <c r="J131" s="278" t="s">
        <v>41</v>
      </c>
      <c r="K131" s="347" t="s">
        <v>757</v>
      </c>
      <c r="L131" s="1631"/>
      <c r="M131" s="345" t="s">
        <v>758</v>
      </c>
      <c r="N131" s="322"/>
      <c r="O131" s="1241" t="s">
        <v>40</v>
      </c>
      <c r="P131" s="1241" t="s">
        <v>46</v>
      </c>
      <c r="Q131" s="351" t="s">
        <v>719</v>
      </c>
      <c r="R131" s="345" t="s">
        <v>100</v>
      </c>
      <c r="S131" s="346">
        <v>32</v>
      </c>
      <c r="T131" s="350">
        <v>500</v>
      </c>
      <c r="U131" s="350">
        <v>4</v>
      </c>
      <c r="V131" s="320" t="s">
        <v>50</v>
      </c>
      <c r="W131" s="320" t="s">
        <v>51</v>
      </c>
      <c r="X131" s="313"/>
      <c r="Y131" s="313"/>
      <c r="Z131" s="351"/>
      <c r="AA131" s="351"/>
      <c r="AB131" s="717"/>
    </row>
    <row r="132" spans="1:28" ht="15.75">
      <c r="A132" s="1556"/>
      <c r="B132" s="1556"/>
      <c r="C132" s="33"/>
      <c r="D132" s="33"/>
      <c r="E132" s="33"/>
      <c r="F132" s="35"/>
      <c r="G132" s="33"/>
      <c r="H132" s="33"/>
      <c r="I132" s="1556"/>
      <c r="J132" s="278" t="s">
        <v>41</v>
      </c>
      <c r="K132" s="345" t="s">
        <v>759</v>
      </c>
      <c r="L132" s="1631"/>
      <c r="M132" s="345" t="s">
        <v>760</v>
      </c>
      <c r="N132" s="322"/>
      <c r="O132" s="1241" t="s">
        <v>40</v>
      </c>
      <c r="P132" s="1241" t="s">
        <v>46</v>
      </c>
      <c r="Q132" s="351" t="s">
        <v>719</v>
      </c>
      <c r="R132" s="345" t="s">
        <v>64</v>
      </c>
      <c r="S132" s="346">
        <v>24</v>
      </c>
      <c r="T132" s="350">
        <v>146</v>
      </c>
      <c r="U132" s="350">
        <v>24</v>
      </c>
      <c r="V132" s="320" t="s">
        <v>50</v>
      </c>
      <c r="W132" s="320" t="s">
        <v>51</v>
      </c>
      <c r="X132" s="313"/>
      <c r="Y132" s="313"/>
      <c r="Z132" s="351"/>
      <c r="AA132" s="351"/>
      <c r="AB132" s="717"/>
    </row>
    <row r="133" spans="1:28" ht="15.75">
      <c r="A133" s="1556"/>
      <c r="B133" s="1556"/>
      <c r="C133" s="33"/>
      <c r="D133" s="33"/>
      <c r="E133" s="33"/>
      <c r="F133" s="35"/>
      <c r="G133" s="33"/>
      <c r="H133" s="33"/>
      <c r="I133" s="1556"/>
      <c r="J133" s="278" t="s">
        <v>41</v>
      </c>
      <c r="K133" s="345" t="s">
        <v>761</v>
      </c>
      <c r="L133" s="1631"/>
      <c r="M133" s="345" t="s">
        <v>728</v>
      </c>
      <c r="N133" s="322"/>
      <c r="O133" s="678" t="s">
        <v>46</v>
      </c>
      <c r="P133" s="678" t="s">
        <v>46</v>
      </c>
      <c r="Q133" s="351" t="s">
        <v>719</v>
      </c>
      <c r="R133" s="345" t="s">
        <v>762</v>
      </c>
      <c r="S133" s="346">
        <v>8</v>
      </c>
      <c r="T133" s="350">
        <v>90.11</v>
      </c>
      <c r="U133" s="350">
        <v>4</v>
      </c>
      <c r="V133" s="320" t="s">
        <v>50</v>
      </c>
      <c r="W133" s="320" t="s">
        <v>51</v>
      </c>
      <c r="X133" s="313"/>
      <c r="Y133" s="313"/>
      <c r="Z133" s="351"/>
      <c r="AA133" s="351"/>
      <c r="AB133" s="717"/>
    </row>
    <row r="134" spans="1:28" ht="15.75">
      <c r="A134" s="1556"/>
      <c r="B134" s="1556"/>
      <c r="C134" s="33"/>
      <c r="D134" s="33"/>
      <c r="E134" s="33"/>
      <c r="F134" s="35"/>
      <c r="G134" s="33"/>
      <c r="H134" s="33"/>
      <c r="I134" s="1556"/>
      <c r="J134" s="278" t="s">
        <v>41</v>
      </c>
      <c r="K134" s="347" t="s">
        <v>763</v>
      </c>
      <c r="L134" s="1631"/>
      <c r="M134" s="347" t="s">
        <v>764</v>
      </c>
      <c r="N134" s="322"/>
      <c r="O134" s="1241" t="s">
        <v>40</v>
      </c>
      <c r="P134" s="1241" t="s">
        <v>46</v>
      </c>
      <c r="Q134" s="351" t="s">
        <v>719</v>
      </c>
      <c r="R134" s="347" t="s">
        <v>651</v>
      </c>
      <c r="S134" s="348">
        <v>32</v>
      </c>
      <c r="T134" s="349">
        <v>100</v>
      </c>
      <c r="U134" s="349">
        <v>8</v>
      </c>
      <c r="V134" s="320" t="s">
        <v>50</v>
      </c>
      <c r="W134" s="320" t="s">
        <v>51</v>
      </c>
      <c r="X134" s="313"/>
      <c r="Y134" s="313"/>
      <c r="Z134" s="351"/>
      <c r="AA134" s="351"/>
      <c r="AB134" s="717"/>
    </row>
    <row r="135" spans="1:28" ht="15.75">
      <c r="A135" s="1556"/>
      <c r="B135" s="1556"/>
      <c r="C135" s="33"/>
      <c r="D135" s="33"/>
      <c r="E135" s="33"/>
      <c r="F135" s="35"/>
      <c r="G135" s="33"/>
      <c r="H135" s="33"/>
      <c r="I135" s="1556"/>
      <c r="J135" s="278" t="s">
        <v>41</v>
      </c>
      <c r="K135" s="345" t="s">
        <v>765</v>
      </c>
      <c r="L135" s="1631"/>
      <c r="M135" s="345" t="s">
        <v>766</v>
      </c>
      <c r="N135" s="322"/>
      <c r="O135" s="1241" t="s">
        <v>40</v>
      </c>
      <c r="P135" s="1241" t="s">
        <v>46</v>
      </c>
      <c r="Q135" s="351" t="s">
        <v>719</v>
      </c>
      <c r="R135" s="345" t="s">
        <v>180</v>
      </c>
      <c r="S135" s="346">
        <v>122.43</v>
      </c>
      <c r="T135" s="350">
        <v>522.11</v>
      </c>
      <c r="U135" s="350">
        <v>16</v>
      </c>
      <c r="V135" s="320" t="s">
        <v>50</v>
      </c>
      <c r="W135" s="320" t="s">
        <v>51</v>
      </c>
      <c r="X135" s="313"/>
      <c r="Y135" s="313"/>
      <c r="Z135" s="351"/>
      <c r="AA135" s="351"/>
      <c r="AB135" s="717"/>
    </row>
    <row r="136" spans="1:28" ht="15.6" customHeight="1">
      <c r="A136" s="1556"/>
      <c r="B136" s="1556"/>
      <c r="C136" s="33"/>
      <c r="D136" s="33"/>
      <c r="E136" s="33"/>
      <c r="F136" s="35"/>
      <c r="G136" s="33"/>
      <c r="H136" s="33"/>
      <c r="I136" s="1556"/>
      <c r="J136" s="278" t="s">
        <v>41</v>
      </c>
      <c r="K136" s="345" t="s">
        <v>767</v>
      </c>
      <c r="L136" s="1631"/>
      <c r="M136" s="345" t="s">
        <v>768</v>
      </c>
      <c r="N136" s="322"/>
      <c r="O136" s="678" t="s">
        <v>46</v>
      </c>
      <c r="P136" s="678" t="s">
        <v>40</v>
      </c>
      <c r="Q136" s="351" t="s">
        <v>719</v>
      </c>
      <c r="R136" s="345" t="s">
        <v>769</v>
      </c>
      <c r="S136" s="346">
        <v>16</v>
      </c>
      <c r="T136" s="431">
        <v>500</v>
      </c>
      <c r="U136" s="350">
        <v>10</v>
      </c>
      <c r="V136" s="320" t="s">
        <v>50</v>
      </c>
      <c r="W136" s="320" t="s">
        <v>51</v>
      </c>
      <c r="X136" s="313"/>
      <c r="Y136" s="313"/>
      <c r="Z136" s="351"/>
      <c r="AA136" s="351"/>
      <c r="AB136" s="717"/>
    </row>
    <row r="137" spans="1:28" ht="31.5">
      <c r="A137" s="1556"/>
      <c r="B137" s="1556"/>
      <c r="C137" s="33"/>
      <c r="D137" s="33"/>
      <c r="E137" s="33"/>
      <c r="F137" s="35"/>
      <c r="G137" s="33"/>
      <c r="H137" s="33"/>
      <c r="I137" s="1556"/>
      <c r="J137" s="278" t="s">
        <v>41</v>
      </c>
      <c r="K137" s="345" t="s">
        <v>770</v>
      </c>
      <c r="L137" s="1631"/>
      <c r="M137" s="345" t="s">
        <v>768</v>
      </c>
      <c r="N137" s="322"/>
      <c r="O137" s="1241" t="s">
        <v>40</v>
      </c>
      <c r="P137" s="1241" t="s">
        <v>46</v>
      </c>
      <c r="Q137" s="351" t="s">
        <v>719</v>
      </c>
      <c r="R137" s="345" t="s">
        <v>771</v>
      </c>
      <c r="S137" s="346">
        <v>8</v>
      </c>
      <c r="T137" s="431" t="s">
        <v>772</v>
      </c>
      <c r="U137" s="350">
        <v>8</v>
      </c>
      <c r="V137" s="320" t="s">
        <v>50</v>
      </c>
      <c r="W137" s="320" t="s">
        <v>51</v>
      </c>
      <c r="X137" s="313"/>
      <c r="Y137" s="313"/>
      <c r="Z137" s="351"/>
      <c r="AA137" s="351"/>
      <c r="AB137" s="717"/>
    </row>
    <row r="138" spans="1:28" ht="15.75">
      <c r="A138" s="1556"/>
      <c r="B138" s="1556"/>
      <c r="C138" s="33"/>
      <c r="D138" s="33"/>
      <c r="E138" s="33"/>
      <c r="F138" s="35"/>
      <c r="G138" s="33"/>
      <c r="H138" s="33"/>
      <c r="I138" s="1556"/>
      <c r="J138" s="278" t="s">
        <v>41</v>
      </c>
      <c r="K138" s="347" t="s">
        <v>773</v>
      </c>
      <c r="L138" s="1631"/>
      <c r="M138" s="347" t="s">
        <v>774</v>
      </c>
      <c r="N138" s="322"/>
      <c r="O138" s="1241" t="s">
        <v>40</v>
      </c>
      <c r="P138" s="1241" t="s">
        <v>46</v>
      </c>
      <c r="Q138" s="351" t="s">
        <v>719</v>
      </c>
      <c r="R138" s="347" t="s">
        <v>64</v>
      </c>
      <c r="S138" s="348">
        <v>4.04</v>
      </c>
      <c r="T138" s="349">
        <v>144.11000000000001</v>
      </c>
      <c r="U138" s="349">
        <v>2</v>
      </c>
      <c r="V138" s="320" t="s">
        <v>50</v>
      </c>
      <c r="W138" s="320" t="s">
        <v>51</v>
      </c>
      <c r="X138" s="313"/>
      <c r="Y138" s="313"/>
      <c r="Z138" s="351"/>
      <c r="AA138" s="351"/>
      <c r="AB138" s="717"/>
    </row>
    <row r="139" spans="1:28" ht="15.75">
      <c r="A139" s="1556"/>
      <c r="B139" s="1556"/>
      <c r="C139" s="33"/>
      <c r="D139" s="33"/>
      <c r="E139" s="33"/>
      <c r="F139" s="35"/>
      <c r="G139" s="33"/>
      <c r="H139" s="33"/>
      <c r="I139" s="1556"/>
      <c r="J139" s="278" t="s">
        <v>41</v>
      </c>
      <c r="K139" s="347" t="s">
        <v>775</v>
      </c>
      <c r="L139" s="1631"/>
      <c r="M139" s="347" t="s">
        <v>776</v>
      </c>
      <c r="N139" s="322"/>
      <c r="O139" s="1241" t="s">
        <v>40</v>
      </c>
      <c r="P139" s="1241"/>
      <c r="Q139" s="351" t="s">
        <v>719</v>
      </c>
      <c r="R139" s="347" t="s">
        <v>651</v>
      </c>
      <c r="S139" s="348">
        <v>16</v>
      </c>
      <c r="T139" s="349">
        <v>60</v>
      </c>
      <c r="U139" s="349">
        <v>12</v>
      </c>
      <c r="V139" s="320" t="s">
        <v>50</v>
      </c>
      <c r="W139" s="320" t="s">
        <v>51</v>
      </c>
      <c r="X139" s="313"/>
      <c r="Y139" s="313"/>
      <c r="Z139" s="351"/>
      <c r="AA139" s="351"/>
      <c r="AB139" s="717"/>
    </row>
    <row r="140" spans="1:28" ht="15.75">
      <c r="A140" s="1556"/>
      <c r="B140" s="1556"/>
      <c r="C140" s="33"/>
      <c r="D140" s="33"/>
      <c r="E140" s="33"/>
      <c r="F140" s="35"/>
      <c r="G140" s="33"/>
      <c r="H140" s="33"/>
      <c r="I140" s="1556"/>
      <c r="J140" s="278" t="s">
        <v>41</v>
      </c>
      <c r="K140" s="347" t="s">
        <v>777</v>
      </c>
      <c r="L140" s="1631"/>
      <c r="M140" s="347" t="s">
        <v>778</v>
      </c>
      <c r="N140" s="322"/>
      <c r="O140" s="1241" t="s">
        <v>40</v>
      </c>
      <c r="P140" s="1241" t="s">
        <v>46</v>
      </c>
      <c r="Q140" s="351" t="s">
        <v>719</v>
      </c>
      <c r="R140" s="347" t="s">
        <v>651</v>
      </c>
      <c r="S140" s="348">
        <v>8</v>
      </c>
      <c r="T140" s="349">
        <v>200</v>
      </c>
      <c r="U140" s="349">
        <v>2</v>
      </c>
      <c r="V140" s="320" t="s">
        <v>50</v>
      </c>
      <c r="W140" s="320" t="s">
        <v>51</v>
      </c>
      <c r="X140" s="313"/>
      <c r="Y140" s="313"/>
      <c r="Z140" s="351"/>
      <c r="AA140" s="351"/>
      <c r="AB140" s="717"/>
    </row>
    <row r="141" spans="1:28" ht="15.75">
      <c r="A141" s="1556"/>
      <c r="B141" s="1556"/>
      <c r="C141" s="33"/>
      <c r="D141" s="33"/>
      <c r="E141" s="33"/>
      <c r="F141" s="35"/>
      <c r="G141" s="33"/>
      <c r="H141" s="33"/>
      <c r="I141" s="1556"/>
      <c r="J141" s="278" t="s">
        <v>41</v>
      </c>
      <c r="K141" s="345" t="s">
        <v>779</v>
      </c>
      <c r="L141" s="1631"/>
      <c r="M141" s="345" t="s">
        <v>780</v>
      </c>
      <c r="N141" s="322"/>
      <c r="O141" s="1241" t="s">
        <v>40</v>
      </c>
      <c r="P141" s="1241" t="s">
        <v>46</v>
      </c>
      <c r="Q141" s="351" t="s">
        <v>719</v>
      </c>
      <c r="R141" s="345" t="s">
        <v>64</v>
      </c>
      <c r="S141" s="346">
        <v>3.91</v>
      </c>
      <c r="T141" s="350" t="s">
        <v>781</v>
      </c>
      <c r="U141" s="350">
        <v>24</v>
      </c>
      <c r="V141" s="320" t="s">
        <v>50</v>
      </c>
      <c r="W141" s="320" t="s">
        <v>51</v>
      </c>
      <c r="X141" s="313"/>
      <c r="Y141" s="313"/>
      <c r="Z141" s="351"/>
      <c r="AA141" s="351"/>
      <c r="AB141" s="717"/>
    </row>
    <row r="142" spans="1:28" ht="15.75">
      <c r="A142" s="1556"/>
      <c r="B142" s="1556"/>
      <c r="C142" s="33"/>
      <c r="D142" s="33"/>
      <c r="E142" s="33"/>
      <c r="F142" s="35"/>
      <c r="G142" s="33"/>
      <c r="H142" s="33"/>
      <c r="I142" s="1556"/>
      <c r="J142" s="278" t="s">
        <v>41</v>
      </c>
      <c r="K142" s="345" t="s">
        <v>782</v>
      </c>
      <c r="L142" s="1631"/>
      <c r="M142" s="345" t="s">
        <v>783</v>
      </c>
      <c r="N142" s="322"/>
      <c r="O142" s="1241" t="s">
        <v>40</v>
      </c>
      <c r="P142" s="1241" t="s">
        <v>46</v>
      </c>
      <c r="Q142" s="351" t="s">
        <v>719</v>
      </c>
      <c r="R142" s="345" t="s">
        <v>100</v>
      </c>
      <c r="S142" s="346">
        <v>2.16</v>
      </c>
      <c r="T142" s="350">
        <v>232.11</v>
      </c>
      <c r="U142" s="350">
        <v>4</v>
      </c>
      <c r="V142" s="320" t="s">
        <v>50</v>
      </c>
      <c r="W142" s="320" t="s">
        <v>51</v>
      </c>
      <c r="X142" s="313"/>
      <c r="Y142" s="313"/>
      <c r="Z142" s="351"/>
      <c r="AA142" s="351"/>
      <c r="AB142" s="717"/>
    </row>
    <row r="143" spans="1:28" ht="15.75">
      <c r="A143" s="1556"/>
      <c r="B143" s="1556"/>
      <c r="C143" s="33"/>
      <c r="D143" s="33"/>
      <c r="E143" s="33"/>
      <c r="F143" s="35"/>
      <c r="G143" s="33"/>
      <c r="H143" s="33"/>
      <c r="I143" s="1556"/>
      <c r="J143" s="278" t="s">
        <v>41</v>
      </c>
      <c r="K143" s="347" t="s">
        <v>784</v>
      </c>
      <c r="L143" s="1631"/>
      <c r="M143" s="347" t="s">
        <v>785</v>
      </c>
      <c r="N143" s="322"/>
      <c r="O143" s="1241" t="s">
        <v>40</v>
      </c>
      <c r="P143" s="1241" t="s">
        <v>46</v>
      </c>
      <c r="Q143" s="351" t="s">
        <v>719</v>
      </c>
      <c r="R143" s="347" t="s">
        <v>64</v>
      </c>
      <c r="S143" s="348">
        <v>6.03</v>
      </c>
      <c r="T143" s="349">
        <v>506.11</v>
      </c>
      <c r="U143" s="349">
        <v>6</v>
      </c>
      <c r="V143" s="320" t="s">
        <v>50</v>
      </c>
      <c r="W143" s="320" t="s">
        <v>51</v>
      </c>
      <c r="X143" s="313"/>
      <c r="Y143" s="313"/>
      <c r="Z143" s="351"/>
      <c r="AA143" s="351"/>
      <c r="AB143" s="717"/>
    </row>
    <row r="144" spans="1:28" ht="15.75">
      <c r="A144" s="1556"/>
      <c r="B144" s="1556"/>
      <c r="C144" s="33"/>
      <c r="D144" s="33"/>
      <c r="E144" s="33"/>
      <c r="F144" s="35"/>
      <c r="G144" s="33"/>
      <c r="H144" s="33"/>
      <c r="I144" s="1556"/>
      <c r="J144" s="278" t="s">
        <v>41</v>
      </c>
      <c r="K144" s="345" t="s">
        <v>786</v>
      </c>
      <c r="L144" s="1631"/>
      <c r="M144" s="345" t="s">
        <v>787</v>
      </c>
      <c r="N144" s="322"/>
      <c r="O144" s="1241" t="s">
        <v>40</v>
      </c>
      <c r="P144" s="1241" t="s">
        <v>46</v>
      </c>
      <c r="Q144" s="351" t="s">
        <v>719</v>
      </c>
      <c r="R144" s="345" t="s">
        <v>651</v>
      </c>
      <c r="S144" s="346">
        <v>64</v>
      </c>
      <c r="T144" s="350">
        <v>400</v>
      </c>
      <c r="U144" s="350">
        <v>20</v>
      </c>
      <c r="V144" s="320" t="s">
        <v>50</v>
      </c>
      <c r="W144" s="320" t="s">
        <v>51</v>
      </c>
      <c r="X144" s="313"/>
      <c r="Y144" s="313"/>
      <c r="Z144" s="351"/>
      <c r="AA144" s="351"/>
      <c r="AB144" s="717"/>
    </row>
    <row r="145" spans="1:30" ht="15.75">
      <c r="A145" s="1556"/>
      <c r="B145" s="1556"/>
      <c r="C145" s="33"/>
      <c r="D145" s="33"/>
      <c r="E145" s="33"/>
      <c r="F145" s="35"/>
      <c r="G145" s="33"/>
      <c r="H145" s="33"/>
      <c r="I145" s="1556"/>
      <c r="J145" s="278" t="s">
        <v>41</v>
      </c>
      <c r="K145" s="345" t="s">
        <v>788</v>
      </c>
      <c r="L145" s="1631"/>
      <c r="M145" s="345" t="s">
        <v>789</v>
      </c>
      <c r="N145" s="322"/>
      <c r="O145" s="1241" t="s">
        <v>40</v>
      </c>
      <c r="P145" s="1241" t="s">
        <v>46</v>
      </c>
      <c r="Q145" s="351" t="s">
        <v>719</v>
      </c>
      <c r="R145" s="345" t="s">
        <v>64</v>
      </c>
      <c r="S145" s="346">
        <v>3.6</v>
      </c>
      <c r="T145" s="350">
        <v>304.11</v>
      </c>
      <c r="U145" s="350">
        <v>4</v>
      </c>
      <c r="V145" s="320" t="s">
        <v>50</v>
      </c>
      <c r="W145" s="320" t="s">
        <v>51</v>
      </c>
      <c r="X145" s="313"/>
      <c r="Y145" s="313"/>
      <c r="Z145" s="351"/>
      <c r="AA145" s="351"/>
      <c r="AB145" s="717"/>
    </row>
    <row r="146" spans="1:30" ht="15.75">
      <c r="A146" s="1556"/>
      <c r="B146" s="1556"/>
      <c r="C146" s="33"/>
      <c r="D146" s="33"/>
      <c r="E146" s="33"/>
      <c r="F146" s="35"/>
      <c r="G146" s="33"/>
      <c r="H146" s="33"/>
      <c r="I146" s="1556"/>
      <c r="J146" s="278" t="s">
        <v>41</v>
      </c>
      <c r="K146" s="345" t="s">
        <v>790</v>
      </c>
      <c r="L146" s="1631"/>
      <c r="M146" s="345" t="s">
        <v>62</v>
      </c>
      <c r="N146" s="322"/>
      <c r="O146" s="678" t="s">
        <v>46</v>
      </c>
      <c r="P146" s="678" t="s">
        <v>46</v>
      </c>
      <c r="Q146" s="351" t="s">
        <v>719</v>
      </c>
      <c r="R146" s="345" t="s">
        <v>383</v>
      </c>
      <c r="S146" s="346">
        <v>143</v>
      </c>
      <c r="T146" s="350">
        <v>2.23</v>
      </c>
      <c r="U146" s="350">
        <v>1</v>
      </c>
      <c r="V146" s="320" t="s">
        <v>50</v>
      </c>
      <c r="W146" s="320" t="s">
        <v>51</v>
      </c>
      <c r="X146" s="313"/>
      <c r="Y146" s="313"/>
      <c r="Z146" s="351"/>
      <c r="AA146" s="351"/>
      <c r="AB146" s="717"/>
    </row>
    <row r="147" spans="1:30" ht="15.75">
      <c r="A147" s="1556"/>
      <c r="B147" s="1556"/>
      <c r="C147" s="33"/>
      <c r="D147" s="33"/>
      <c r="E147" s="33"/>
      <c r="F147" s="35"/>
      <c r="G147" s="33"/>
      <c r="H147" s="33"/>
      <c r="I147" s="1556"/>
      <c r="J147" s="278" t="s">
        <v>41</v>
      </c>
      <c r="K147" s="345" t="s">
        <v>791</v>
      </c>
      <c r="L147" s="1631"/>
      <c r="M147" s="351"/>
      <c r="N147" s="322"/>
      <c r="O147" s="678" t="s">
        <v>46</v>
      </c>
      <c r="P147" s="678" t="s">
        <v>46</v>
      </c>
      <c r="Q147" s="351" t="s">
        <v>719</v>
      </c>
      <c r="R147" s="347" t="s">
        <v>383</v>
      </c>
      <c r="S147" s="348">
        <v>0.14000000000000001</v>
      </c>
      <c r="T147" s="349">
        <v>2.23</v>
      </c>
      <c r="U147" s="349">
        <v>1</v>
      </c>
      <c r="V147" s="320" t="s">
        <v>50</v>
      </c>
      <c r="W147" s="320" t="s">
        <v>51</v>
      </c>
      <c r="X147" s="313"/>
      <c r="Y147" s="313"/>
      <c r="Z147" s="351"/>
      <c r="AA147" s="351"/>
      <c r="AB147" s="717"/>
    </row>
    <row r="148" spans="1:30" ht="15.75">
      <c r="A148" s="1556"/>
      <c r="B148" s="1556"/>
      <c r="C148" s="33"/>
      <c r="D148" s="33"/>
      <c r="E148" s="33"/>
      <c r="F148" s="35"/>
      <c r="G148" s="33"/>
      <c r="H148" s="33"/>
      <c r="I148" s="1556"/>
      <c r="J148" s="278" t="s">
        <v>41</v>
      </c>
      <c r="K148" s="347" t="s">
        <v>792</v>
      </c>
      <c r="L148" s="1631"/>
      <c r="M148" s="351"/>
      <c r="N148" s="322"/>
      <c r="O148" s="678" t="s">
        <v>46</v>
      </c>
      <c r="P148" s="678" t="s">
        <v>46</v>
      </c>
      <c r="Q148" s="351" t="s">
        <v>719</v>
      </c>
      <c r="R148" s="347" t="s">
        <v>383</v>
      </c>
      <c r="S148" s="348">
        <v>0.14499999999999999</v>
      </c>
      <c r="T148" s="349">
        <v>2.23</v>
      </c>
      <c r="U148" s="349">
        <v>1</v>
      </c>
      <c r="V148" s="320" t="s">
        <v>50</v>
      </c>
      <c r="W148" s="320" t="s">
        <v>51</v>
      </c>
      <c r="X148" s="313"/>
      <c r="Y148" s="313"/>
      <c r="Z148" s="351"/>
      <c r="AA148" s="351"/>
      <c r="AB148" s="717"/>
    </row>
    <row r="149" spans="1:30" ht="15.75">
      <c r="A149" s="1556"/>
      <c r="B149" s="1557"/>
      <c r="C149" s="33"/>
      <c r="D149" s="33"/>
      <c r="E149" s="33"/>
      <c r="F149" s="35"/>
      <c r="G149" s="33"/>
      <c r="H149" s="33"/>
      <c r="I149" s="1557"/>
      <c r="J149" s="278" t="s">
        <v>41</v>
      </c>
      <c r="K149" s="351" t="s">
        <v>793</v>
      </c>
      <c r="L149" s="1632"/>
      <c r="M149" s="351" t="s">
        <v>794</v>
      </c>
      <c r="N149" s="322"/>
      <c r="O149" s="678" t="s">
        <v>46</v>
      </c>
      <c r="P149" s="678" t="s">
        <v>40</v>
      </c>
      <c r="Q149" s="351" t="s">
        <v>719</v>
      </c>
      <c r="R149" s="351" t="s">
        <v>795</v>
      </c>
      <c r="S149" s="313">
        <v>4</v>
      </c>
      <c r="T149" s="320">
        <v>250</v>
      </c>
      <c r="U149" s="313">
        <v>4</v>
      </c>
      <c r="V149" s="320" t="s">
        <v>50</v>
      </c>
      <c r="W149" s="320" t="s">
        <v>51</v>
      </c>
      <c r="X149" s="313"/>
      <c r="Y149" s="313"/>
      <c r="Z149" s="351"/>
      <c r="AA149" s="351"/>
      <c r="AB149" s="717"/>
    </row>
    <row r="150" spans="1:30" ht="15" customHeight="1">
      <c r="A150" s="1556"/>
      <c r="B150" s="1555" t="s">
        <v>487</v>
      </c>
      <c r="C150" s="402" t="s">
        <v>475</v>
      </c>
      <c r="D150" s="267" t="s">
        <v>488</v>
      </c>
      <c r="E150" s="267" t="s">
        <v>796</v>
      </c>
      <c r="F150" s="1568">
        <v>3</v>
      </c>
      <c r="G150" s="1567" t="s">
        <v>489</v>
      </c>
      <c r="H150" s="1555" t="s">
        <v>40</v>
      </c>
      <c r="I150" s="1645">
        <f>COUNTIF(J150:J152,"=VIRTUAL")</f>
        <v>2</v>
      </c>
      <c r="J150" s="1322" t="s">
        <v>41</v>
      </c>
      <c r="K150" s="496" t="s">
        <v>797</v>
      </c>
      <c r="L150" s="1323" t="s">
        <v>798</v>
      </c>
      <c r="M150" s="1324" t="s">
        <v>799</v>
      </c>
      <c r="N150" s="1325"/>
      <c r="O150" s="1326"/>
      <c r="P150" s="1326"/>
      <c r="Q150" s="1327" t="s">
        <v>800</v>
      </c>
      <c r="R150" s="496" t="s">
        <v>187</v>
      </c>
      <c r="S150" s="497">
        <v>96</v>
      </c>
      <c r="T150" s="497">
        <v>4500</v>
      </c>
      <c r="U150" s="497">
        <v>14</v>
      </c>
      <c r="V150" s="412" t="s">
        <v>50</v>
      </c>
      <c r="W150" s="412" t="s">
        <v>633</v>
      </c>
      <c r="X150" s="498" t="s">
        <v>801</v>
      </c>
      <c r="Y150" s="498" t="s">
        <v>802</v>
      </c>
      <c r="Z150" s="351"/>
      <c r="AA150" s="351"/>
      <c r="AB150" s="717" t="s">
        <v>329</v>
      </c>
      <c r="AC150" t="s">
        <v>53</v>
      </c>
    </row>
    <row r="151" spans="1:30" ht="15.75">
      <c r="A151" s="1556"/>
      <c r="B151" s="1556"/>
      <c r="C151" s="1328" t="s">
        <v>475</v>
      </c>
      <c r="D151" s="74" t="s">
        <v>490</v>
      </c>
      <c r="E151" s="74" t="s">
        <v>803</v>
      </c>
      <c r="F151" s="1568"/>
      <c r="G151" s="1567"/>
      <c r="H151" s="1556"/>
      <c r="I151" s="1645"/>
      <c r="J151" s="278" t="s">
        <v>41</v>
      </c>
      <c r="K151" s="438" t="s">
        <v>804</v>
      </c>
      <c r="L151" s="700" t="s">
        <v>805</v>
      </c>
      <c r="M151" s="351" t="s">
        <v>806</v>
      </c>
      <c r="N151" s="701" t="s">
        <v>807</v>
      </c>
      <c r="O151" s="678" t="s">
        <v>46</v>
      </c>
      <c r="P151" s="678" t="s">
        <v>40</v>
      </c>
      <c r="Q151" s="363" t="s">
        <v>328</v>
      </c>
      <c r="R151" s="351" t="s">
        <v>808</v>
      </c>
      <c r="S151" s="313">
        <v>20</v>
      </c>
      <c r="T151" s="313">
        <v>80</v>
      </c>
      <c r="U151" s="313">
        <v>4</v>
      </c>
      <c r="V151" s="320" t="s">
        <v>50</v>
      </c>
      <c r="W151" s="320" t="s">
        <v>51</v>
      </c>
      <c r="X151" s="313" t="s">
        <v>206</v>
      </c>
      <c r="Y151" s="313" t="s">
        <v>207</v>
      </c>
      <c r="Z151" s="351"/>
      <c r="AA151" s="351"/>
      <c r="AB151" s="717" t="s">
        <v>329</v>
      </c>
      <c r="AC151" t="s">
        <v>53</v>
      </c>
      <c r="AD151" s="765" t="s">
        <v>54</v>
      </c>
    </row>
    <row r="152" spans="1:30" ht="15" customHeight="1">
      <c r="A152" s="1556"/>
      <c r="B152" s="1557"/>
      <c r="C152" s="1328" t="s">
        <v>475</v>
      </c>
      <c r="D152" s="74" t="s">
        <v>491</v>
      </c>
      <c r="E152" s="74" t="s">
        <v>809</v>
      </c>
      <c r="F152" s="1568"/>
      <c r="G152" s="1567"/>
      <c r="H152" s="1557"/>
      <c r="I152" s="1646"/>
      <c r="J152" s="408"/>
      <c r="K152" s="496"/>
      <c r="L152" s="1323"/>
      <c r="M152" s="1329"/>
      <c r="N152" s="1325"/>
      <c r="O152" s="1330"/>
      <c r="P152" s="1330"/>
      <c r="Q152" s="410"/>
      <c r="R152" s="496"/>
      <c r="S152" s="497"/>
      <c r="T152" s="497"/>
      <c r="U152" s="497"/>
      <c r="V152" s="412"/>
      <c r="W152" s="412"/>
      <c r="X152" s="497"/>
      <c r="Y152" s="497"/>
      <c r="Z152" s="351"/>
      <c r="AA152" s="351"/>
      <c r="AB152" s="717" t="s">
        <v>329</v>
      </c>
      <c r="AC152" t="s">
        <v>53</v>
      </c>
      <c r="AD152" s="765" t="s">
        <v>164</v>
      </c>
    </row>
    <row r="153" spans="1:30" s="109" customFormat="1" ht="65.25" customHeight="1">
      <c r="A153" s="1556"/>
      <c r="B153" s="1555" t="s">
        <v>810</v>
      </c>
      <c r="C153" s="402" t="s">
        <v>475</v>
      </c>
      <c r="D153" s="398" t="s">
        <v>484</v>
      </c>
      <c r="E153" s="466" t="s">
        <v>46</v>
      </c>
      <c r="F153" s="370">
        <v>1</v>
      </c>
      <c r="G153" s="404" t="s">
        <v>485</v>
      </c>
      <c r="H153" s="370" t="s">
        <v>48</v>
      </c>
      <c r="I153" s="370" t="s">
        <v>62</v>
      </c>
      <c r="J153" s="278" t="s">
        <v>479</v>
      </c>
      <c r="K153" s="363" t="s">
        <v>811</v>
      </c>
      <c r="L153" s="363"/>
      <c r="M153" s="363"/>
      <c r="N153" s="363" t="s">
        <v>62</v>
      </c>
      <c r="O153" s="1241" t="s">
        <v>40</v>
      </c>
      <c r="P153" s="1241" t="s">
        <v>46</v>
      </c>
      <c r="Q153" s="363" t="s">
        <v>719</v>
      </c>
      <c r="R153" s="363" t="s">
        <v>661</v>
      </c>
      <c r="S153" s="320" t="s">
        <v>62</v>
      </c>
      <c r="T153" s="320" t="s">
        <v>62</v>
      </c>
      <c r="U153" s="320" t="s">
        <v>62</v>
      </c>
      <c r="V153" s="320" t="s">
        <v>50</v>
      </c>
      <c r="W153" s="320" t="s">
        <v>51</v>
      </c>
      <c r="X153" s="320" t="s">
        <v>52</v>
      </c>
      <c r="Y153" s="320" t="s">
        <v>52</v>
      </c>
      <c r="Z153" s="319" t="s">
        <v>720</v>
      </c>
      <c r="AA153" s="319"/>
      <c r="AB153" s="678" t="s">
        <v>812</v>
      </c>
    </row>
    <row r="154" spans="1:30" s="109" customFormat="1" ht="60">
      <c r="A154" s="1556"/>
      <c r="B154" s="1556"/>
      <c r="C154" s="424" t="s">
        <v>475</v>
      </c>
      <c r="D154" s="267" t="s">
        <v>486</v>
      </c>
      <c r="E154" s="402" t="s">
        <v>46</v>
      </c>
      <c r="F154" s="267">
        <v>1</v>
      </c>
      <c r="G154" s="294" t="s">
        <v>485</v>
      </c>
      <c r="H154" s="267" t="s">
        <v>48</v>
      </c>
      <c r="I154" s="267" t="s">
        <v>62</v>
      </c>
      <c r="J154" s="278" t="s">
        <v>479</v>
      </c>
      <c r="K154" s="363" t="s">
        <v>813</v>
      </c>
      <c r="L154" s="363" t="s">
        <v>62</v>
      </c>
      <c r="M154" s="363"/>
      <c r="N154" s="363" t="s">
        <v>62</v>
      </c>
      <c r="O154" s="1241" t="s">
        <v>40</v>
      </c>
      <c r="P154" s="1241" t="s">
        <v>46</v>
      </c>
      <c r="Q154" s="363" t="s">
        <v>719</v>
      </c>
      <c r="R154" s="363" t="s">
        <v>661</v>
      </c>
      <c r="S154" s="320" t="s">
        <v>62</v>
      </c>
      <c r="T154" s="320" t="s">
        <v>62</v>
      </c>
      <c r="U154" s="320" t="s">
        <v>62</v>
      </c>
      <c r="V154" s="320" t="s">
        <v>50</v>
      </c>
      <c r="W154" s="320" t="s">
        <v>51</v>
      </c>
      <c r="X154" s="320" t="s">
        <v>52</v>
      </c>
      <c r="Y154" s="320" t="s">
        <v>52</v>
      </c>
      <c r="Z154" s="502"/>
      <c r="AA154" s="502"/>
      <c r="AB154" s="678" t="s">
        <v>812</v>
      </c>
    </row>
    <row r="155" spans="1:30" s="109" customFormat="1" ht="83.25" customHeight="1">
      <c r="A155" s="1556"/>
      <c r="B155" s="1556"/>
      <c r="C155" s="278" t="s">
        <v>475</v>
      </c>
      <c r="D155" s="370" t="s">
        <v>492</v>
      </c>
      <c r="E155" s="267"/>
      <c r="F155" s="278">
        <v>1</v>
      </c>
      <c r="G155" s="294" t="s">
        <v>814</v>
      </c>
      <c r="H155" s="267" t="s">
        <v>48</v>
      </c>
      <c r="I155" s="267" t="s">
        <v>62</v>
      </c>
      <c r="J155" s="278" t="s">
        <v>479</v>
      </c>
      <c r="K155" s="363" t="s">
        <v>815</v>
      </c>
      <c r="L155" s="364" t="s">
        <v>816</v>
      </c>
      <c r="M155" s="363" t="s">
        <v>817</v>
      </c>
      <c r="N155" s="363" t="s">
        <v>818</v>
      </c>
      <c r="O155" s="1241" t="s">
        <v>40</v>
      </c>
      <c r="P155" s="1241" t="s">
        <v>46</v>
      </c>
      <c r="Q155" s="833" t="s">
        <v>819</v>
      </c>
      <c r="R155" s="363" t="s">
        <v>205</v>
      </c>
      <c r="S155" s="320">
        <v>196</v>
      </c>
      <c r="T155" s="320">
        <v>4500</v>
      </c>
      <c r="U155" s="320">
        <v>1</v>
      </c>
      <c r="V155" s="320" t="s">
        <v>50</v>
      </c>
      <c r="W155" s="320" t="s">
        <v>200</v>
      </c>
      <c r="X155" s="320" t="s">
        <v>206</v>
      </c>
      <c r="Y155" s="320" t="s">
        <v>207</v>
      </c>
      <c r="Z155" s="502"/>
      <c r="AA155" s="502"/>
      <c r="AB155" s="678" t="s">
        <v>329</v>
      </c>
      <c r="AC155" s="109" t="s">
        <v>53</v>
      </c>
      <c r="AD155" s="764" t="s">
        <v>820</v>
      </c>
    </row>
    <row r="156" spans="1:30" s="109" customFormat="1" ht="60">
      <c r="A156" s="1556"/>
      <c r="B156" s="1556"/>
      <c r="C156" s="278" t="s">
        <v>475</v>
      </c>
      <c r="D156" s="267" t="s">
        <v>494</v>
      </c>
      <c r="E156" s="267"/>
      <c r="F156" s="610">
        <v>1</v>
      </c>
      <c r="G156" s="294" t="s">
        <v>821</v>
      </c>
      <c r="H156" s="267" t="s">
        <v>48</v>
      </c>
      <c r="I156" s="267"/>
      <c r="J156" s="278" t="s">
        <v>479</v>
      </c>
      <c r="K156" s="363" t="s">
        <v>496</v>
      </c>
      <c r="L156" s="364" t="s">
        <v>497</v>
      </c>
      <c r="M156" s="363" t="s">
        <v>498</v>
      </c>
      <c r="N156" s="363"/>
      <c r="O156" s="1241" t="s">
        <v>40</v>
      </c>
      <c r="P156" s="1241" t="s">
        <v>46</v>
      </c>
      <c r="Q156" s="363" t="s">
        <v>641</v>
      </c>
      <c r="R156" s="364" t="s">
        <v>499</v>
      </c>
      <c r="S156" s="320"/>
      <c r="T156" s="320"/>
      <c r="U156" s="320"/>
      <c r="V156" s="320"/>
      <c r="W156" s="320" t="s">
        <v>51</v>
      </c>
      <c r="X156" s="320"/>
      <c r="Y156" s="320"/>
      <c r="Z156" s="502"/>
      <c r="AA156" s="502"/>
      <c r="AB156" s="678"/>
    </row>
    <row r="157" spans="1:30" s="413" customFormat="1" ht="63">
      <c r="A157" s="1556"/>
      <c r="B157" s="1556"/>
      <c r="C157" s="408" t="s">
        <v>475</v>
      </c>
      <c r="D157" s="407" t="s">
        <v>500</v>
      </c>
      <c r="E157" s="500" t="s">
        <v>822</v>
      </c>
      <c r="F157" s="409"/>
      <c r="G157" s="501" t="s">
        <v>501</v>
      </c>
      <c r="H157" s="407" t="s">
        <v>48</v>
      </c>
      <c r="I157" s="407" t="s">
        <v>62</v>
      </c>
      <c r="J157" s="408" t="s">
        <v>479</v>
      </c>
      <c r="K157" s="410" t="s">
        <v>823</v>
      </c>
      <c r="L157" s="411" t="s">
        <v>313</v>
      </c>
      <c r="M157" s="410" t="s">
        <v>314</v>
      </c>
      <c r="N157" s="410" t="s">
        <v>315</v>
      </c>
      <c r="O157" s="410"/>
      <c r="P157" s="410"/>
      <c r="Q157" s="410" t="s">
        <v>316</v>
      </c>
      <c r="R157" s="410" t="s">
        <v>317</v>
      </c>
      <c r="S157" s="412">
        <v>196</v>
      </c>
      <c r="T157" s="412">
        <v>1200</v>
      </c>
      <c r="U157" s="412">
        <v>2</v>
      </c>
      <c r="V157" s="412" t="s">
        <v>50</v>
      </c>
      <c r="W157" s="412" t="s">
        <v>46</v>
      </c>
      <c r="X157" s="412" t="s">
        <v>52</v>
      </c>
      <c r="Y157" s="412" t="s">
        <v>52</v>
      </c>
      <c r="Z157" s="502"/>
      <c r="AA157" s="502"/>
      <c r="AB157" s="726" t="s">
        <v>40</v>
      </c>
      <c r="AC157" s="413" t="s">
        <v>53</v>
      </c>
    </row>
    <row r="158" spans="1:30" s="375" customFormat="1" ht="63">
      <c r="A158" s="1557"/>
      <c r="B158" s="1557"/>
      <c r="C158" s="305" t="s">
        <v>475</v>
      </c>
      <c r="D158" s="406" t="s">
        <v>824</v>
      </c>
      <c r="E158" s="304"/>
      <c r="F158" s="611">
        <v>1</v>
      </c>
      <c r="G158" s="403" t="s">
        <v>825</v>
      </c>
      <c r="H158" s="304" t="s">
        <v>48</v>
      </c>
      <c r="I158" s="304" t="s">
        <v>62</v>
      </c>
      <c r="J158" s="305" t="s">
        <v>479</v>
      </c>
      <c r="K158" s="373" t="s">
        <v>826</v>
      </c>
      <c r="L158" s="374" t="s">
        <v>313</v>
      </c>
      <c r="M158" s="373" t="s">
        <v>827</v>
      </c>
      <c r="N158" s="373"/>
      <c r="O158" s="373"/>
      <c r="P158" s="373"/>
      <c r="Q158" s="373" t="s">
        <v>828</v>
      </c>
      <c r="R158" s="373" t="s">
        <v>317</v>
      </c>
      <c r="S158" s="366">
        <v>192</v>
      </c>
      <c r="T158" s="366">
        <v>1200</v>
      </c>
      <c r="U158" s="366">
        <v>2</v>
      </c>
      <c r="V158" s="366" t="s">
        <v>50</v>
      </c>
      <c r="W158" s="366" t="s">
        <v>46</v>
      </c>
      <c r="X158" s="366" t="s">
        <v>52</v>
      </c>
      <c r="Y158" s="366" t="s">
        <v>52</v>
      </c>
      <c r="Z158" s="414"/>
      <c r="AA158" s="414"/>
      <c r="AB158" s="727" t="s">
        <v>40</v>
      </c>
      <c r="AC158" s="375" t="s">
        <v>53</v>
      </c>
    </row>
    <row r="159" spans="1:30" ht="15.75">
      <c r="A159" s="275" t="s">
        <v>606</v>
      </c>
      <c r="B159" s="75" t="s">
        <v>48</v>
      </c>
      <c r="C159" s="274" t="s">
        <v>503</v>
      </c>
      <c r="D159" s="279"/>
      <c r="E159" s="280"/>
      <c r="F159" s="74">
        <v>1</v>
      </c>
      <c r="G159" s="74" t="s">
        <v>504</v>
      </c>
      <c r="H159" s="74" t="s">
        <v>48</v>
      </c>
      <c r="I159" s="267" t="s">
        <v>62</v>
      </c>
      <c r="J159" s="278" t="s">
        <v>479</v>
      </c>
      <c r="K159" s="351" t="s">
        <v>505</v>
      </c>
      <c r="L159" s="363" t="s">
        <v>506</v>
      </c>
      <c r="M159" s="351" t="s">
        <v>507</v>
      </c>
      <c r="N159" s="351" t="s">
        <v>62</v>
      </c>
      <c r="O159" s="1241" t="s">
        <v>40</v>
      </c>
      <c r="P159" s="1241" t="s">
        <v>46</v>
      </c>
      <c r="Q159" s="363" t="s">
        <v>641</v>
      </c>
      <c r="R159" s="351" t="s">
        <v>205</v>
      </c>
      <c r="S159" s="313">
        <v>132</v>
      </c>
      <c r="T159" s="320">
        <v>7800</v>
      </c>
      <c r="U159" s="313">
        <v>2</v>
      </c>
      <c r="V159" s="320" t="s">
        <v>86</v>
      </c>
      <c r="W159" s="320" t="s">
        <v>51</v>
      </c>
      <c r="X159" s="313" t="s">
        <v>206</v>
      </c>
      <c r="Y159" s="313" t="s">
        <v>207</v>
      </c>
      <c r="Z159" s="351">
        <v>0</v>
      </c>
      <c r="AA159" s="351"/>
      <c r="AB159" s="717" t="s">
        <v>208</v>
      </c>
    </row>
    <row r="160" spans="1:30" s="204" customFormat="1" ht="37.5" customHeight="1">
      <c r="A160" s="206" t="s">
        <v>606</v>
      </c>
      <c r="B160" s="493" t="s">
        <v>48</v>
      </c>
      <c r="C160" s="494" t="s">
        <v>829</v>
      </c>
      <c r="D160" s="495"/>
      <c r="E160" s="493" t="s">
        <v>680</v>
      </c>
      <c r="F160" s="494">
        <v>1</v>
      </c>
      <c r="G160" s="494" t="s">
        <v>830</v>
      </c>
      <c r="H160" s="494" t="s">
        <v>48</v>
      </c>
      <c r="I160" s="407" t="s">
        <v>62</v>
      </c>
      <c r="J160" s="408" t="s">
        <v>479</v>
      </c>
      <c r="K160" s="496" t="s">
        <v>831</v>
      </c>
      <c r="L160" s="410" t="s">
        <v>832</v>
      </c>
      <c r="M160" s="496" t="s">
        <v>833</v>
      </c>
      <c r="N160" s="496" t="s">
        <v>62</v>
      </c>
      <c r="O160" s="496"/>
      <c r="P160" s="496"/>
      <c r="Q160" s="496" t="s">
        <v>834</v>
      </c>
      <c r="R160" s="496" t="s">
        <v>205</v>
      </c>
      <c r="S160" s="497">
        <v>96</v>
      </c>
      <c r="T160" s="412">
        <v>400</v>
      </c>
      <c r="U160" s="497">
        <v>2</v>
      </c>
      <c r="V160" s="412" t="s">
        <v>50</v>
      </c>
      <c r="W160" s="412" t="s">
        <v>633</v>
      </c>
      <c r="X160" s="497" t="s">
        <v>206</v>
      </c>
      <c r="Y160" s="497" t="s">
        <v>207</v>
      </c>
      <c r="Z160" s="496">
        <v>0</v>
      </c>
      <c r="AA160" s="496"/>
      <c r="AB160" s="728" t="s">
        <v>835</v>
      </c>
      <c r="AD160" s="413"/>
    </row>
    <row r="161" spans="1:30" ht="15.75">
      <c r="A161" s="20" t="s">
        <v>606</v>
      </c>
      <c r="B161" s="74" t="s">
        <v>48</v>
      </c>
      <c r="C161" s="74" t="s">
        <v>508</v>
      </c>
      <c r="D161" s="74"/>
      <c r="E161" s="74"/>
      <c r="F161" s="74">
        <v>1</v>
      </c>
      <c r="G161" s="74" t="s">
        <v>509</v>
      </c>
      <c r="H161" s="74" t="s">
        <v>48</v>
      </c>
      <c r="I161" s="276" t="s">
        <v>62</v>
      </c>
      <c r="J161" s="267" t="s">
        <v>479</v>
      </c>
      <c r="K161" s="351" t="s">
        <v>510</v>
      </c>
      <c r="L161" s="363" t="s">
        <v>511</v>
      </c>
      <c r="M161" s="351" t="s">
        <v>512</v>
      </c>
      <c r="N161" s="351" t="s">
        <v>62</v>
      </c>
      <c r="O161" s="1241" t="s">
        <v>40</v>
      </c>
      <c r="P161" s="1241" t="s">
        <v>46</v>
      </c>
      <c r="Q161" s="504" t="s">
        <v>639</v>
      </c>
      <c r="R161" s="310" t="s">
        <v>317</v>
      </c>
      <c r="S161" s="313">
        <v>32</v>
      </c>
      <c r="T161" s="320">
        <v>300</v>
      </c>
      <c r="U161" s="313">
        <v>2</v>
      </c>
      <c r="V161" s="320" t="s">
        <v>50</v>
      </c>
      <c r="W161" s="320" t="s">
        <v>51</v>
      </c>
      <c r="X161" s="313" t="s">
        <v>52</v>
      </c>
      <c r="Y161" s="313" t="s">
        <v>52</v>
      </c>
      <c r="Z161" s="351">
        <v>0</v>
      </c>
      <c r="AA161" s="351"/>
      <c r="AB161" s="717" t="s">
        <v>513</v>
      </c>
    </row>
    <row r="162" spans="1:30" s="109" customFormat="1" ht="63">
      <c r="A162" s="1568" t="s">
        <v>606</v>
      </c>
      <c r="B162" s="1567" t="s">
        <v>515</v>
      </c>
      <c r="C162" s="1567" t="s">
        <v>836</v>
      </c>
      <c r="D162" s="1568" t="s">
        <v>516</v>
      </c>
      <c r="E162" s="1569" t="s">
        <v>837</v>
      </c>
      <c r="F162" s="1568">
        <v>1</v>
      </c>
      <c r="G162" s="1569"/>
      <c r="H162" s="267" t="s">
        <v>40</v>
      </c>
      <c r="I162" s="1555">
        <f>COUNTIF(J162:J164,"=VIRTUAL")</f>
        <v>3</v>
      </c>
      <c r="J162" s="294" t="s">
        <v>41</v>
      </c>
      <c r="K162" s="363" t="s">
        <v>519</v>
      </c>
      <c r="L162" s="378" t="s">
        <v>838</v>
      </c>
      <c r="M162" s="364" t="s">
        <v>521</v>
      </c>
      <c r="N162" s="363"/>
      <c r="O162" s="1241" t="s">
        <v>46</v>
      </c>
      <c r="P162" s="1241" t="s">
        <v>46</v>
      </c>
      <c r="Q162" s="504" t="s">
        <v>639</v>
      </c>
      <c r="R162" s="119" t="s">
        <v>522</v>
      </c>
      <c r="S162" s="320"/>
      <c r="T162" s="320">
        <v>128</v>
      </c>
      <c r="U162" s="320"/>
      <c r="V162" s="320" t="s">
        <v>50</v>
      </c>
      <c r="W162" s="320" t="s">
        <v>51</v>
      </c>
      <c r="X162" s="320"/>
      <c r="Y162" s="320"/>
      <c r="Z162" s="363"/>
      <c r="AA162" s="363"/>
      <c r="AB162" s="678"/>
    </row>
    <row r="163" spans="1:30" s="109" customFormat="1" ht="47.25">
      <c r="A163" s="1568"/>
      <c r="B163" s="1567"/>
      <c r="C163" s="1568"/>
      <c r="D163" s="1568"/>
      <c r="E163" s="1570"/>
      <c r="F163" s="1568"/>
      <c r="G163" s="1570"/>
      <c r="H163" s="267" t="s">
        <v>40</v>
      </c>
      <c r="I163" s="1556"/>
      <c r="J163" s="294" t="s">
        <v>41</v>
      </c>
      <c r="K163" s="363" t="s">
        <v>523</v>
      </c>
      <c r="L163" s="364" t="s">
        <v>839</v>
      </c>
      <c r="M163" s="363" t="s">
        <v>525</v>
      </c>
      <c r="N163" s="363"/>
      <c r="O163" s="1241" t="s">
        <v>46</v>
      </c>
      <c r="P163" s="1241" t="s">
        <v>46</v>
      </c>
      <c r="Q163" s="504" t="s">
        <v>639</v>
      </c>
      <c r="R163" s="119" t="s">
        <v>522</v>
      </c>
      <c r="S163" s="320"/>
      <c r="T163" s="320">
        <v>260</v>
      </c>
      <c r="U163" s="320"/>
      <c r="V163" s="320" t="s">
        <v>50</v>
      </c>
      <c r="W163" s="320" t="s">
        <v>51</v>
      </c>
      <c r="X163" s="320"/>
      <c r="Y163" s="320"/>
      <c r="Z163" s="363"/>
      <c r="AA163" s="363"/>
      <c r="AB163" s="678"/>
    </row>
    <row r="164" spans="1:30" s="109" customFormat="1" ht="47.25">
      <c r="A164" s="1568"/>
      <c r="B164" s="1567"/>
      <c r="C164" s="1568"/>
      <c r="D164" s="1568"/>
      <c r="E164" s="1571"/>
      <c r="F164" s="1568"/>
      <c r="G164" s="1571"/>
      <c r="H164" s="267" t="s">
        <v>40</v>
      </c>
      <c r="I164" s="1557"/>
      <c r="J164" s="294" t="s">
        <v>41</v>
      </c>
      <c r="K164" s="363" t="s">
        <v>526</v>
      </c>
      <c r="L164" s="364" t="s">
        <v>840</v>
      </c>
      <c r="M164" s="364" t="s">
        <v>528</v>
      </c>
      <c r="N164" s="363"/>
      <c r="O164" s="1241" t="s">
        <v>46</v>
      </c>
      <c r="P164" s="1241" t="s">
        <v>46</v>
      </c>
      <c r="Q164" s="504" t="s">
        <v>639</v>
      </c>
      <c r="R164" s="119" t="s">
        <v>522</v>
      </c>
      <c r="S164" s="320"/>
      <c r="T164" s="320">
        <v>29300</v>
      </c>
      <c r="U164" s="320"/>
      <c r="V164" s="320" t="s">
        <v>50</v>
      </c>
      <c r="W164" s="320" t="s">
        <v>51</v>
      </c>
      <c r="X164" s="320"/>
      <c r="Y164" s="320"/>
      <c r="Z164" s="363"/>
      <c r="AA164" s="363"/>
      <c r="AB164" s="678"/>
    </row>
    <row r="165" spans="1:30" s="109" customFormat="1" ht="94.5">
      <c r="A165" s="376" t="s">
        <v>606</v>
      </c>
      <c r="B165" s="267" t="s">
        <v>48</v>
      </c>
      <c r="C165" s="267" t="s">
        <v>508</v>
      </c>
      <c r="D165" s="267"/>
      <c r="E165" s="267"/>
      <c r="F165" s="267">
        <v>1</v>
      </c>
      <c r="G165" s="267" t="s">
        <v>529</v>
      </c>
      <c r="H165" s="267" t="s">
        <v>48</v>
      </c>
      <c r="I165" s="276" t="s">
        <v>62</v>
      </c>
      <c r="J165" s="267" t="s">
        <v>479</v>
      </c>
      <c r="K165" s="363" t="s">
        <v>530</v>
      </c>
      <c r="L165" s="363" t="s">
        <v>531</v>
      </c>
      <c r="M165" s="364" t="s">
        <v>532</v>
      </c>
      <c r="N165" s="363" t="s">
        <v>62</v>
      </c>
      <c r="O165" s="1241" t="s">
        <v>46</v>
      </c>
      <c r="P165" s="1241" t="s">
        <v>46</v>
      </c>
      <c r="Q165" s="504" t="s">
        <v>639</v>
      </c>
      <c r="R165" s="363" t="s">
        <v>533</v>
      </c>
      <c r="S165" s="320" t="s">
        <v>62</v>
      </c>
      <c r="T165" s="320" t="s">
        <v>62</v>
      </c>
      <c r="U165" s="320" t="s">
        <v>62</v>
      </c>
      <c r="V165" s="320" t="s">
        <v>50</v>
      </c>
      <c r="W165" s="320" t="s">
        <v>51</v>
      </c>
      <c r="X165" s="320" t="s">
        <v>52</v>
      </c>
      <c r="Y165" s="320" t="s">
        <v>52</v>
      </c>
      <c r="Z165" s="363">
        <v>0</v>
      </c>
      <c r="AA165" s="363"/>
      <c r="AB165" s="678" t="s">
        <v>534</v>
      </c>
    </row>
    <row r="166" spans="1:30" s="109" customFormat="1" ht="94.5">
      <c r="A166" s="377" t="s">
        <v>606</v>
      </c>
      <c r="B166" s="370" t="s">
        <v>48</v>
      </c>
      <c r="C166" s="370" t="s">
        <v>508</v>
      </c>
      <c r="D166" s="370"/>
      <c r="E166" s="370"/>
      <c r="F166" s="370">
        <v>1</v>
      </c>
      <c r="G166" s="370" t="s">
        <v>529</v>
      </c>
      <c r="H166" s="370" t="s">
        <v>48</v>
      </c>
      <c r="I166" s="277" t="s">
        <v>62</v>
      </c>
      <c r="J166" s="267" t="s">
        <v>479</v>
      </c>
      <c r="K166" s="363" t="s">
        <v>535</v>
      </c>
      <c r="L166" s="363" t="s">
        <v>536</v>
      </c>
      <c r="M166" s="364" t="s">
        <v>537</v>
      </c>
      <c r="N166" s="363" t="s">
        <v>62</v>
      </c>
      <c r="O166" s="1241" t="s">
        <v>46</v>
      </c>
      <c r="P166" s="1241" t="s">
        <v>46</v>
      </c>
      <c r="Q166" s="504" t="s">
        <v>639</v>
      </c>
      <c r="R166" s="363" t="s">
        <v>533</v>
      </c>
      <c r="S166" s="320" t="s">
        <v>62</v>
      </c>
      <c r="T166" s="320" t="s">
        <v>62</v>
      </c>
      <c r="U166" s="320" t="s">
        <v>62</v>
      </c>
      <c r="V166" s="320" t="s">
        <v>50</v>
      </c>
      <c r="W166" s="320" t="s">
        <v>51</v>
      </c>
      <c r="X166" s="320" t="s">
        <v>52</v>
      </c>
      <c r="Y166" s="320" t="s">
        <v>52</v>
      </c>
      <c r="Z166" s="363">
        <v>0</v>
      </c>
      <c r="AA166" s="363"/>
      <c r="AB166" s="678" t="s">
        <v>534</v>
      </c>
    </row>
    <row r="167" spans="1:30" ht="15.75">
      <c r="A167" s="20" t="s">
        <v>606</v>
      </c>
      <c r="B167" s="74" t="s">
        <v>48</v>
      </c>
      <c r="C167" s="74" t="s">
        <v>503</v>
      </c>
      <c r="D167" s="74"/>
      <c r="E167" s="74"/>
      <c r="F167" s="74">
        <v>1</v>
      </c>
      <c r="G167" s="74" t="s">
        <v>538</v>
      </c>
      <c r="H167" s="74" t="s">
        <v>48</v>
      </c>
      <c r="I167" s="276" t="s">
        <v>62</v>
      </c>
      <c r="J167" s="267" t="s">
        <v>479</v>
      </c>
      <c r="K167" s="351" t="s">
        <v>539</v>
      </c>
      <c r="L167" s="363" t="s">
        <v>439</v>
      </c>
      <c r="M167" s="351" t="s">
        <v>540</v>
      </c>
      <c r="N167" s="351" t="s">
        <v>841</v>
      </c>
      <c r="O167" s="1241" t="s">
        <v>46</v>
      </c>
      <c r="P167" s="1241" t="s">
        <v>40</v>
      </c>
      <c r="Q167" s="504" t="s">
        <v>842</v>
      </c>
      <c r="R167" s="351" t="s">
        <v>442</v>
      </c>
      <c r="S167" s="313">
        <v>16</v>
      </c>
      <c r="T167" s="320">
        <v>600</v>
      </c>
      <c r="U167" s="313">
        <v>1</v>
      </c>
      <c r="V167" s="320" t="s">
        <v>65</v>
      </c>
      <c r="W167" s="320" t="s">
        <v>51</v>
      </c>
      <c r="X167" s="313" t="s">
        <v>52</v>
      </c>
      <c r="Y167" s="313" t="s">
        <v>52</v>
      </c>
      <c r="Z167" s="351">
        <v>0</v>
      </c>
      <c r="AA167" s="351"/>
      <c r="AB167" s="717" t="s">
        <v>40</v>
      </c>
    </row>
    <row r="168" spans="1:30" s="109" customFormat="1" ht="45">
      <c r="A168" s="376" t="s">
        <v>606</v>
      </c>
      <c r="B168" s="267" t="s">
        <v>48</v>
      </c>
      <c r="C168" s="267" t="s">
        <v>503</v>
      </c>
      <c r="D168" s="267"/>
      <c r="E168" s="267"/>
      <c r="F168" s="398">
        <v>1</v>
      </c>
      <c r="G168" s="294" t="s">
        <v>541</v>
      </c>
      <c r="H168" s="267" t="s">
        <v>48</v>
      </c>
      <c r="I168" s="276" t="s">
        <v>62</v>
      </c>
      <c r="J168" s="267" t="s">
        <v>479</v>
      </c>
      <c r="K168" s="363" t="s">
        <v>542</v>
      </c>
      <c r="L168" s="363" t="s">
        <v>843</v>
      </c>
      <c r="M168" s="363" t="s">
        <v>544</v>
      </c>
      <c r="N168" s="363" t="s">
        <v>62</v>
      </c>
      <c r="O168" s="1241" t="s">
        <v>46</v>
      </c>
      <c r="P168" s="1241" t="s">
        <v>40</v>
      </c>
      <c r="Q168" s="504" t="s">
        <v>639</v>
      </c>
      <c r="R168" s="363" t="s">
        <v>545</v>
      </c>
      <c r="S168" s="320">
        <v>32</v>
      </c>
      <c r="T168" s="320">
        <v>600</v>
      </c>
      <c r="U168" s="320">
        <v>1</v>
      </c>
      <c r="V168" s="320" t="s">
        <v>50</v>
      </c>
      <c r="W168" s="320" t="s">
        <v>51</v>
      </c>
      <c r="X168" s="320" t="s">
        <v>52</v>
      </c>
      <c r="Y168" s="320" t="s">
        <v>52</v>
      </c>
      <c r="Z168" s="363">
        <v>0</v>
      </c>
      <c r="AA168" s="363"/>
      <c r="AB168" s="678" t="s">
        <v>546</v>
      </c>
    </row>
    <row r="169" spans="1:30" ht="15.75">
      <c r="A169" s="20" t="s">
        <v>606</v>
      </c>
      <c r="B169" s="74" t="s">
        <v>48</v>
      </c>
      <c r="C169" s="74" t="s">
        <v>508</v>
      </c>
      <c r="D169" s="74"/>
      <c r="E169" s="74"/>
      <c r="F169" s="74">
        <v>1</v>
      </c>
      <c r="G169" s="74" t="s">
        <v>547</v>
      </c>
      <c r="H169" s="74" t="s">
        <v>48</v>
      </c>
      <c r="I169" s="267" t="s">
        <v>62</v>
      </c>
      <c r="J169" s="267" t="s">
        <v>479</v>
      </c>
      <c r="K169" s="351" t="s">
        <v>548</v>
      </c>
      <c r="L169" s="363" t="s">
        <v>549</v>
      </c>
      <c r="M169" s="351" t="s">
        <v>550</v>
      </c>
      <c r="N169" s="351" t="s">
        <v>62</v>
      </c>
      <c r="O169" s="1241" t="s">
        <v>46</v>
      </c>
      <c r="P169" s="1241" t="s">
        <v>40</v>
      </c>
      <c r="Q169" s="351" t="s">
        <v>316</v>
      </c>
      <c r="R169" s="351" t="s">
        <v>545</v>
      </c>
      <c r="S169" s="313">
        <v>128</v>
      </c>
      <c r="T169" s="320">
        <v>3576</v>
      </c>
      <c r="U169" s="313">
        <v>2</v>
      </c>
      <c r="V169" s="320"/>
      <c r="W169" s="320" t="s">
        <v>51</v>
      </c>
      <c r="X169" s="313" t="s">
        <v>52</v>
      </c>
      <c r="Y169" s="313" t="s">
        <v>52</v>
      </c>
      <c r="Z169" s="351">
        <v>0</v>
      </c>
      <c r="AA169" s="351"/>
      <c r="AB169" s="717" t="s">
        <v>40</v>
      </c>
      <c r="AC169" t="s">
        <v>53</v>
      </c>
      <c r="AD169" s="764" t="s">
        <v>551</v>
      </c>
    </row>
    <row r="170" spans="1:30" s="109" customFormat="1" ht="30" customHeight="1">
      <c r="A170" s="376" t="s">
        <v>606</v>
      </c>
      <c r="B170" s="267" t="s">
        <v>48</v>
      </c>
      <c r="C170" s="294" t="s">
        <v>552</v>
      </c>
      <c r="D170" s="267"/>
      <c r="E170" s="267" t="s">
        <v>553</v>
      </c>
      <c r="F170" s="267">
        <v>1</v>
      </c>
      <c r="G170" s="294" t="s">
        <v>554</v>
      </c>
      <c r="H170" s="267" t="s">
        <v>48</v>
      </c>
      <c r="I170" s="267"/>
      <c r="J170" s="267" t="s">
        <v>479</v>
      </c>
      <c r="K170" s="363"/>
      <c r="L170" s="363"/>
      <c r="M170" s="363"/>
      <c r="N170" s="363"/>
      <c r="O170" s="1241" t="s">
        <v>46</v>
      </c>
      <c r="P170" s="1241" t="s">
        <v>40</v>
      </c>
      <c r="Q170" s="504" t="s">
        <v>639</v>
      </c>
      <c r="R170" s="363" t="s">
        <v>555</v>
      </c>
      <c r="S170" s="320">
        <v>16</v>
      </c>
      <c r="T170" s="320"/>
      <c r="U170" s="320">
        <v>1</v>
      </c>
      <c r="V170" s="320" t="s">
        <v>50</v>
      </c>
      <c r="W170" s="320"/>
      <c r="X170" s="320" t="s">
        <v>52</v>
      </c>
      <c r="Y170" s="320" t="s">
        <v>52</v>
      </c>
      <c r="Z170" s="363">
        <v>0</v>
      </c>
      <c r="AA170" s="363"/>
      <c r="AB170" s="678"/>
    </row>
    <row r="171" spans="1:30" ht="15.75">
      <c r="A171" s="18"/>
      <c r="B171" s="33"/>
      <c r="C171" s="33"/>
      <c r="D171" s="33"/>
      <c r="E171" s="33"/>
      <c r="F171" s="33"/>
      <c r="G171" s="33"/>
      <c r="H171" s="33"/>
      <c r="I171" s="35"/>
      <c r="J171" s="35"/>
      <c r="K171" s="340"/>
      <c r="L171" s="532"/>
      <c r="M171" s="340"/>
      <c r="N171" s="340"/>
      <c r="O171" s="340"/>
      <c r="P171" s="340"/>
      <c r="Q171" s="340"/>
      <c r="R171" s="340"/>
      <c r="S171" s="341"/>
      <c r="T171" s="1600" t="s">
        <v>556</v>
      </c>
      <c r="U171" s="1600"/>
      <c r="V171" s="342"/>
      <c r="W171" s="342"/>
      <c r="X171" s="341"/>
      <c r="Y171" s="341"/>
      <c r="Z171" s="340"/>
      <c r="AA171" s="340"/>
      <c r="AB171" s="712"/>
    </row>
    <row r="172" spans="1:30" ht="15.75">
      <c r="A172" s="26" t="s">
        <v>557</v>
      </c>
      <c r="B172" s="34"/>
      <c r="C172" s="34"/>
      <c r="D172" s="34"/>
      <c r="E172" s="34"/>
      <c r="F172" s="34" t="s">
        <v>558</v>
      </c>
      <c r="G172" s="34"/>
      <c r="H172" s="34"/>
      <c r="I172" s="36" t="s">
        <v>844</v>
      </c>
      <c r="J172" s="36"/>
      <c r="K172" s="306"/>
      <c r="L172" s="593"/>
      <c r="M172" s="306"/>
      <c r="N172" s="306"/>
      <c r="O172" s="306"/>
      <c r="P172" s="306"/>
      <c r="Q172" s="306"/>
      <c r="R172" s="306"/>
      <c r="S172" s="323"/>
      <c r="T172" s="324">
        <f>SUM(T8:T169)</f>
        <v>111308.62600000002</v>
      </c>
      <c r="U172" s="324" t="s">
        <v>560</v>
      </c>
      <c r="V172" s="546"/>
      <c r="W172" s="546"/>
      <c r="X172" s="323"/>
      <c r="Y172" s="323"/>
      <c r="Z172" s="306" t="s">
        <v>561</v>
      </c>
      <c r="AA172" s="306"/>
      <c r="AB172" s="729"/>
    </row>
    <row r="173" spans="1:30" ht="15.75" customHeight="1">
      <c r="A173" s="18">
        <f>F173+I173</f>
        <v>170</v>
      </c>
      <c r="B173" s="33"/>
      <c r="C173" s="33"/>
      <c r="D173" s="33"/>
      <c r="E173" s="33"/>
      <c r="F173" s="33">
        <f>SUM(F8:F169)</f>
        <v>26</v>
      </c>
      <c r="G173" s="33"/>
      <c r="H173" s="33"/>
      <c r="I173" s="35">
        <f>I8+I107+I113+I124+I150+I162</f>
        <v>144</v>
      </c>
      <c r="J173" s="35"/>
      <c r="K173" s="340"/>
      <c r="L173" s="532"/>
      <c r="M173" s="1609" t="s">
        <v>845</v>
      </c>
      <c r="N173" s="1610"/>
      <c r="O173" s="1611">
        <f>COUNTIF(O8:O170,"S*")</f>
        <v>88</v>
      </c>
      <c r="P173" s="1611">
        <f>COUNTIF(P8:P170,"S*")</f>
        <v>45</v>
      </c>
      <c r="Q173" s="340"/>
      <c r="R173" s="340"/>
      <c r="S173" s="341"/>
      <c r="T173" s="311">
        <f>(T172/1024)</f>
        <v>108.69983007812502</v>
      </c>
      <c r="U173" s="311" t="s">
        <v>563</v>
      </c>
      <c r="V173" s="342"/>
      <c r="W173" s="342"/>
      <c r="X173" s="341"/>
      <c r="Y173" s="341"/>
      <c r="Z173" s="340">
        <v>11610</v>
      </c>
      <c r="AA173" s="340"/>
      <c r="AB173" s="712"/>
    </row>
    <row r="174" spans="1:30" ht="15" customHeight="1">
      <c r="M174" s="1609"/>
      <c r="N174" s="1610"/>
      <c r="O174" s="1611"/>
      <c r="P174" s="1611"/>
    </row>
    <row r="175" spans="1:30" ht="15" customHeight="1">
      <c r="M175" s="1610" t="s">
        <v>564</v>
      </c>
      <c r="N175" s="1612"/>
      <c r="O175" s="679">
        <f>COUNTIF(O113:O149,"s*")+COUNTIF(O153:O154,"s*")</f>
        <v>32</v>
      </c>
      <c r="P175" s="679">
        <f>COUNTIF(P113:P149,"s*")+COUNTIF(P153:P154,"s*")</f>
        <v>3</v>
      </c>
    </row>
    <row r="176" spans="1:30" ht="15" customHeight="1">
      <c r="A176" s="1629" t="s">
        <v>565</v>
      </c>
      <c r="B176" s="1629"/>
      <c r="C176" s="1629"/>
      <c r="D176" s="1629"/>
      <c r="E176" s="1629"/>
      <c r="F176" s="1629"/>
      <c r="G176" s="1629"/>
      <c r="H176" s="1629"/>
      <c r="I176" s="1629"/>
      <c r="J176" s="1629"/>
      <c r="K176" s="1629"/>
      <c r="L176" s="594"/>
      <c r="M176" s="1610" t="s">
        <v>566</v>
      </c>
      <c r="N176" s="1612"/>
      <c r="O176" s="679">
        <f>O173-O175</f>
        <v>56</v>
      </c>
      <c r="P176" s="679">
        <f>P173-P175</f>
        <v>42</v>
      </c>
    </row>
    <row r="177" spans="1:13" ht="28.5" customHeight="1">
      <c r="A177" s="1613" t="s">
        <v>567</v>
      </c>
      <c r="B177" s="1613"/>
      <c r="C177" s="1614" t="s">
        <v>568</v>
      </c>
      <c r="D177" s="1614"/>
      <c r="E177" s="1614"/>
      <c r="F177" s="1614"/>
      <c r="G177" s="1614"/>
      <c r="H177" s="368" t="s">
        <v>569</v>
      </c>
      <c r="I177" s="368" t="s">
        <v>19</v>
      </c>
      <c r="J177" s="368" t="s">
        <v>570</v>
      </c>
      <c r="K177" s="368" t="s">
        <v>571</v>
      </c>
    </row>
    <row r="178" spans="1:13" ht="32.25" customHeight="1">
      <c r="A178" s="1620" t="s">
        <v>572</v>
      </c>
      <c r="B178" s="1621"/>
      <c r="C178" s="1620" t="s">
        <v>573</v>
      </c>
      <c r="D178" s="1620"/>
      <c r="E178" s="1620"/>
      <c r="F178" s="1620"/>
      <c r="G178" s="1620"/>
      <c r="H178" s="135" t="s">
        <v>574</v>
      </c>
      <c r="I178" s="338" t="s">
        <v>63</v>
      </c>
      <c r="J178" s="337"/>
      <c r="K178" s="369" t="s">
        <v>575</v>
      </c>
    </row>
    <row r="179" spans="1:13" ht="32.25" customHeight="1">
      <c r="A179" s="1618" t="s">
        <v>577</v>
      </c>
      <c r="B179" s="1618"/>
      <c r="C179" s="1619" t="s">
        <v>578</v>
      </c>
      <c r="D179" s="1619"/>
      <c r="E179" s="1618"/>
      <c r="F179" s="1618"/>
      <c r="G179" s="1618"/>
      <c r="H179" s="135" t="s">
        <v>579</v>
      </c>
      <c r="I179" s="503" t="s">
        <v>578</v>
      </c>
      <c r="J179" s="337"/>
      <c r="K179" s="369" t="s">
        <v>580</v>
      </c>
    </row>
    <row r="180" spans="1:13" ht="32.25" customHeight="1">
      <c r="A180" s="1619" t="s">
        <v>577</v>
      </c>
      <c r="B180" s="1618"/>
      <c r="C180" s="1619" t="s">
        <v>582</v>
      </c>
      <c r="D180" s="1619"/>
      <c r="E180" s="1618"/>
      <c r="F180" s="1618"/>
      <c r="G180" s="1618"/>
      <c r="H180" s="135" t="s">
        <v>583</v>
      </c>
      <c r="I180" s="503" t="s">
        <v>584</v>
      </c>
      <c r="J180" s="337"/>
      <c r="K180" s="633" t="s">
        <v>585</v>
      </c>
    </row>
    <row r="181" spans="1:13" ht="32.25" customHeight="1">
      <c r="A181" s="1619" t="s">
        <v>577</v>
      </c>
      <c r="B181" s="1618"/>
      <c r="C181" s="1619" t="s">
        <v>451</v>
      </c>
      <c r="D181" s="1619"/>
      <c r="E181" s="1618"/>
      <c r="F181" s="1618"/>
      <c r="G181" s="1618"/>
      <c r="H181" s="135" t="s">
        <v>586</v>
      </c>
      <c r="I181" s="338" t="s">
        <v>587</v>
      </c>
      <c r="J181" s="337"/>
      <c r="K181" s="525" t="s">
        <v>588</v>
      </c>
    </row>
    <row r="182" spans="1:13" ht="32.25" customHeight="1">
      <c r="A182" s="1619" t="s">
        <v>577</v>
      </c>
      <c r="B182" s="1618"/>
      <c r="C182" s="1622" t="s">
        <v>589</v>
      </c>
      <c r="D182" s="1622"/>
      <c r="E182" s="1623"/>
      <c r="F182" s="1623"/>
      <c r="G182" s="1623"/>
      <c r="H182" s="159" t="s">
        <v>590</v>
      </c>
      <c r="I182" s="338" t="s">
        <v>63</v>
      </c>
      <c r="J182" s="339"/>
      <c r="K182" s="526" t="s">
        <v>846</v>
      </c>
      <c r="M182" s="327"/>
    </row>
    <row r="183" spans="1:13" ht="32.25" customHeight="1">
      <c r="A183" s="1619" t="s">
        <v>577</v>
      </c>
      <c r="B183" s="1625"/>
      <c r="C183" s="1624" t="s">
        <v>591</v>
      </c>
      <c r="D183" s="1624"/>
      <c r="E183" s="1624"/>
      <c r="F183" s="1624"/>
      <c r="G183" s="1624"/>
      <c r="H183" s="127" t="s">
        <v>592</v>
      </c>
      <c r="I183" s="337"/>
      <c r="J183" s="337"/>
      <c r="K183" s="527" t="s">
        <v>593</v>
      </c>
    </row>
    <row r="184" spans="1:13" ht="32.25" customHeight="1">
      <c r="A184" s="1622" t="s">
        <v>577</v>
      </c>
      <c r="B184" s="1627"/>
      <c r="C184" s="1628" t="s">
        <v>594</v>
      </c>
      <c r="D184" s="1628"/>
      <c r="E184" s="1628"/>
      <c r="F184" s="1628"/>
      <c r="G184" s="1628"/>
      <c r="H184" s="160" t="s">
        <v>595</v>
      </c>
      <c r="I184" s="338" t="s">
        <v>63</v>
      </c>
      <c r="J184" s="154"/>
      <c r="K184" s="528" t="s">
        <v>596</v>
      </c>
    </row>
    <row r="185" spans="1:13" ht="32.25" customHeight="1">
      <c r="A185" s="1628"/>
      <c r="B185" s="1628"/>
      <c r="C185" s="1628" t="s">
        <v>597</v>
      </c>
      <c r="D185" s="1628"/>
      <c r="E185" s="1628"/>
      <c r="F185" s="1628"/>
      <c r="G185" s="1628"/>
      <c r="H185" s="160" t="s">
        <v>598</v>
      </c>
      <c r="I185" s="338" t="s">
        <v>63</v>
      </c>
      <c r="J185" s="154"/>
      <c r="K185" s="529" t="s">
        <v>599</v>
      </c>
    </row>
    <row r="186" spans="1:13" ht="32.25" customHeight="1">
      <c r="A186" s="1624" t="s">
        <v>600</v>
      </c>
      <c r="B186" s="1625"/>
      <c r="C186" s="1624" t="s">
        <v>601</v>
      </c>
      <c r="D186" s="1624"/>
      <c r="E186" s="1624"/>
      <c r="F186" s="1624"/>
      <c r="G186" s="1624"/>
      <c r="H186" s="506" t="s">
        <v>602</v>
      </c>
      <c r="I186" s="338" t="s">
        <v>63</v>
      </c>
      <c r="J186" s="38"/>
      <c r="K186" s="527" t="s">
        <v>603</v>
      </c>
    </row>
    <row r="187" spans="1:13" ht="15" customHeight="1">
      <c r="A187" s="1626"/>
      <c r="B187" s="1626"/>
      <c r="C187" s="1626"/>
      <c r="D187" s="1626"/>
      <c r="E187" s="1626"/>
      <c r="F187" s="1626"/>
      <c r="G187" s="1626"/>
      <c r="K187" s="505" t="s">
        <v>604</v>
      </c>
    </row>
    <row r="192" spans="1:13" ht="15.75"/>
  </sheetData>
  <mergeCells count="63">
    <mergeCell ref="A107:A112"/>
    <mergeCell ref="B107:B112"/>
    <mergeCell ref="I150:I152"/>
    <mergeCell ref="I162:I164"/>
    <mergeCell ref="A162:A164"/>
    <mergeCell ref="B162:B164"/>
    <mergeCell ref="F162:F164"/>
    <mergeCell ref="C162:C164"/>
    <mergeCell ref="D162:D164"/>
    <mergeCell ref="E162:E164"/>
    <mergeCell ref="A113:A158"/>
    <mergeCell ref="H150:H152"/>
    <mergeCell ref="B113:B149"/>
    <mergeCell ref="B150:B152"/>
    <mergeCell ref="B153:B158"/>
    <mergeCell ref="F150:F152"/>
    <mergeCell ref="J2:Q2"/>
    <mergeCell ref="I113:I123"/>
    <mergeCell ref="L113:L123"/>
    <mergeCell ref="H107:H112"/>
    <mergeCell ref="G107:G112"/>
    <mergeCell ref="G150:G152"/>
    <mergeCell ref="C107:C112"/>
    <mergeCell ref="D107:D112"/>
    <mergeCell ref="F107:F112"/>
    <mergeCell ref="E107:E109"/>
    <mergeCell ref="E110:E112"/>
    <mergeCell ref="F113:F115"/>
    <mergeCell ref="Z107:Z112"/>
    <mergeCell ref="L124:L149"/>
    <mergeCell ref="I124:I149"/>
    <mergeCell ref="I107:I109"/>
    <mergeCell ref="I110:I112"/>
    <mergeCell ref="C180:G180"/>
    <mergeCell ref="A181:B181"/>
    <mergeCell ref="C181:G181"/>
    <mergeCell ref="T171:U171"/>
    <mergeCell ref="A176:K176"/>
    <mergeCell ref="A177:B177"/>
    <mergeCell ref="C177:G177"/>
    <mergeCell ref="A178:B178"/>
    <mergeCell ref="C178:G178"/>
    <mergeCell ref="O173:O174"/>
    <mergeCell ref="P173:P174"/>
    <mergeCell ref="M173:N174"/>
    <mergeCell ref="M175:N175"/>
    <mergeCell ref="M176:N176"/>
    <mergeCell ref="G162:G164"/>
    <mergeCell ref="A187:B187"/>
    <mergeCell ref="C187:G187"/>
    <mergeCell ref="A185:B185"/>
    <mergeCell ref="C185:G185"/>
    <mergeCell ref="A186:B186"/>
    <mergeCell ref="C186:G186"/>
    <mergeCell ref="A182:B182"/>
    <mergeCell ref="C182:G182"/>
    <mergeCell ref="A183:B183"/>
    <mergeCell ref="C183:G183"/>
    <mergeCell ref="A184:B184"/>
    <mergeCell ref="C184:G184"/>
    <mergeCell ref="A179:B179"/>
    <mergeCell ref="C179:G179"/>
    <mergeCell ref="A180:B180"/>
  </mergeCells>
  <conditionalFormatting sqref="V8:Y170">
    <cfRule type="containsText" dxfId="194" priority="1" operator="containsText" text="DAR DE BAJA">
      <formula>NOT(ISERROR(SEARCH("DAR DE BAJA",V8)))</formula>
    </cfRule>
    <cfRule type="containsText" dxfId="193" priority="2" operator="containsText" text="BAJO">
      <formula>NOT(ISERROR(SEARCH("BAJO",V8)))</formula>
    </cfRule>
    <cfRule type="containsText" dxfId="192" priority="3" operator="containsText" text="MEDIO">
      <formula>NOT(ISERROR(SEARCH("MEDIO",V8)))</formula>
    </cfRule>
    <cfRule type="containsText" dxfId="191" priority="4" operator="containsText" text="ALTO">
      <formula>NOT(ISERROR(SEARCH("ALTO",V8)))</formula>
    </cfRule>
  </conditionalFormatting>
  <hyperlinks>
    <hyperlink ref="K180" r:id="rId1" xr:uid="{00000000-0004-0000-0100-000000000000}"/>
    <hyperlink ref="K185" r:id="rId2" xr:uid="{00000000-0004-0000-0100-000001000000}"/>
    <hyperlink ref="K181" r:id="rId3" xr:uid="{00000000-0004-0000-0100-000002000000}"/>
    <hyperlink ref="K183" r:id="rId4" xr:uid="{00000000-0004-0000-0100-000003000000}"/>
    <hyperlink ref="K186" r:id="rId5" location="session_timed_out" xr:uid="{00000000-0004-0000-0100-000004000000}"/>
  </hyperlinks>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82"/>
  <sheetViews>
    <sheetView zoomScale="85" zoomScaleNormal="85" workbookViewId="0">
      <pane ySplit="6" topLeftCell="K144" activePane="bottomLeft" state="frozen"/>
      <selection pane="bottomLeft" activeCell="K155" sqref="K155"/>
    </sheetView>
  </sheetViews>
  <sheetFormatPr defaultColWidth="11.42578125" defaultRowHeight="15" customHeight="1"/>
  <cols>
    <col min="1" max="1" width="36.5703125" bestFit="1" customWidth="1"/>
    <col min="2" max="2" width="14.85546875" customWidth="1"/>
    <col min="3" max="5" width="17.5703125" customWidth="1"/>
    <col min="6" max="6" width="17.42578125" customWidth="1"/>
    <col min="7" max="7" width="28.140625" customWidth="1"/>
    <col min="8" max="8" width="17.140625" customWidth="1"/>
    <col min="9" max="9" width="17.5703125" customWidth="1"/>
    <col min="10" max="10" width="16" customWidth="1"/>
    <col min="11" max="11" width="21.5703125" customWidth="1"/>
    <col min="12" max="12" width="55.85546875" customWidth="1"/>
    <col min="13" max="13" width="25.5703125" bestFit="1" customWidth="1"/>
    <col min="14" max="14" width="15.5703125" hidden="1" customWidth="1"/>
    <col min="15" max="15" width="7.85546875" style="641" hidden="1" customWidth="1"/>
    <col min="16" max="16" width="8.42578125" style="641" hidden="1" customWidth="1"/>
    <col min="17" max="17" width="48.5703125" bestFit="1" customWidth="1"/>
    <col min="18" max="18" width="24.28515625" customWidth="1"/>
    <col min="19" max="19" width="27" customWidth="1"/>
    <col min="20" max="20" width="6.28515625" customWidth="1"/>
    <col min="21" max="21" width="7.5703125" customWidth="1"/>
    <col min="22" max="23" width="11.5703125" customWidth="1"/>
    <col min="24" max="24" width="15.42578125" style="1" customWidth="1"/>
    <col min="25" max="25" width="20.5703125" style="31" customWidth="1"/>
    <col min="26" max="26" width="10" style="1" customWidth="1"/>
    <col min="27" max="27" width="12.5703125" style="1" customWidth="1"/>
    <col min="28" max="28" width="5.42578125" customWidth="1"/>
    <col min="29" max="29" width="7" customWidth="1"/>
    <col min="30" max="30" width="6.140625" customWidth="1"/>
    <col min="31" max="31" width="9.28515625" customWidth="1"/>
    <col min="32" max="32" width="32.42578125" customWidth="1"/>
    <col min="33" max="33" width="57.5703125" customWidth="1"/>
  </cols>
  <sheetData>
    <row r="1" spans="1:33" ht="15" customHeight="1">
      <c r="A1" s="1626"/>
      <c r="R1" s="641"/>
    </row>
    <row r="2" spans="1:33" ht="18.75" customHeight="1">
      <c r="A2" s="1626"/>
      <c r="B2" s="1537"/>
      <c r="C2" s="1537"/>
      <c r="D2" s="1537"/>
      <c r="E2" s="1679" t="s">
        <v>847</v>
      </c>
      <c r="F2" s="1679"/>
      <c r="G2" s="1679"/>
      <c r="H2" s="1679"/>
      <c r="I2" s="1679"/>
      <c r="J2" s="1679"/>
      <c r="K2" s="1537"/>
      <c r="L2" s="1537"/>
      <c r="M2" s="1537"/>
      <c r="N2" s="28"/>
      <c r="O2" s="28"/>
      <c r="P2" s="28"/>
      <c r="Q2" s="28"/>
      <c r="R2" s="28"/>
      <c r="S2" s="28"/>
      <c r="T2" s="28"/>
      <c r="U2" s="28"/>
      <c r="V2" s="28"/>
      <c r="W2" s="28"/>
      <c r="X2" s="28"/>
      <c r="Y2" s="28"/>
      <c r="Z2" s="28"/>
      <c r="AA2" s="28"/>
      <c r="AB2" s="28"/>
      <c r="AC2" s="28"/>
    </row>
    <row r="3" spans="1:33" ht="21">
      <c r="A3" s="1626"/>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row>
    <row r="4" spans="1:33" ht="31.5" customHeight="1">
      <c r="A4" s="1626"/>
      <c r="R4" s="641"/>
    </row>
    <row r="5" spans="1:33" ht="25.5" customHeight="1">
      <c r="A5" s="1680" t="s">
        <v>848</v>
      </c>
      <c r="B5" s="1680"/>
      <c r="C5" s="1680"/>
      <c r="H5" s="26" t="s">
        <v>849</v>
      </c>
      <c r="I5" s="1531" t="s">
        <v>850</v>
      </c>
      <c r="J5" s="26"/>
      <c r="R5" s="641"/>
    </row>
    <row r="6" spans="1:33" s="198" customFormat="1" ht="91.5">
      <c r="A6" s="537"/>
      <c r="B6" s="537" t="s">
        <v>4</v>
      </c>
      <c r="C6" s="537" t="s">
        <v>5</v>
      </c>
      <c r="D6" s="537" t="s">
        <v>6</v>
      </c>
      <c r="E6" s="537" t="s">
        <v>851</v>
      </c>
      <c r="F6" s="537" t="s">
        <v>8</v>
      </c>
      <c r="G6" s="537" t="s">
        <v>9</v>
      </c>
      <c r="H6" s="537" t="s">
        <v>10</v>
      </c>
      <c r="I6" s="537" t="s">
        <v>11</v>
      </c>
      <c r="J6" s="537" t="s">
        <v>12</v>
      </c>
      <c r="K6" s="537" t="s">
        <v>13</v>
      </c>
      <c r="L6" s="537" t="s">
        <v>14</v>
      </c>
      <c r="M6" s="537" t="s">
        <v>15</v>
      </c>
      <c r="N6" s="537" t="s">
        <v>16</v>
      </c>
      <c r="O6" s="674" t="s">
        <v>17</v>
      </c>
      <c r="P6" s="674" t="s">
        <v>18</v>
      </c>
      <c r="Q6" s="537" t="s">
        <v>19</v>
      </c>
      <c r="R6" s="674" t="s">
        <v>20</v>
      </c>
      <c r="S6" s="537" t="s">
        <v>21</v>
      </c>
      <c r="T6" s="537" t="s">
        <v>22</v>
      </c>
      <c r="U6" s="537" t="s">
        <v>23</v>
      </c>
      <c r="V6" s="537" t="s">
        <v>24</v>
      </c>
      <c r="W6" s="537" t="s">
        <v>25</v>
      </c>
      <c r="X6" s="539" t="s">
        <v>852</v>
      </c>
      <c r="Y6" s="539" t="s">
        <v>26</v>
      </c>
      <c r="Z6" s="539" t="s">
        <v>27</v>
      </c>
      <c r="AA6" s="539" t="s">
        <v>28</v>
      </c>
      <c r="AB6" s="537" t="s">
        <v>29</v>
      </c>
      <c r="AC6" s="537" t="s">
        <v>30</v>
      </c>
      <c r="AD6" s="537" t="s">
        <v>31</v>
      </c>
      <c r="AE6" s="537" t="s">
        <v>32</v>
      </c>
      <c r="AF6" s="1331" t="s">
        <v>33</v>
      </c>
      <c r="AG6" s="537" t="s">
        <v>853</v>
      </c>
    </row>
    <row r="7" spans="1:33" ht="103.5" customHeight="1">
      <c r="A7" s="1668" t="s">
        <v>854</v>
      </c>
      <c r="B7" s="1672" t="s">
        <v>855</v>
      </c>
      <c r="C7" s="900" t="s">
        <v>856</v>
      </c>
      <c r="D7" s="1401" t="s">
        <v>857</v>
      </c>
      <c r="E7" s="1401" t="s">
        <v>858</v>
      </c>
      <c r="F7" s="1465">
        <v>2</v>
      </c>
      <c r="G7" s="902" t="s">
        <v>859</v>
      </c>
      <c r="H7" s="992" t="s">
        <v>860</v>
      </c>
      <c r="I7" s="1469">
        <f>COUNTIF(J7:J8,"=VIRTUAL")</f>
        <v>0</v>
      </c>
      <c r="J7" s="994"/>
      <c r="K7" s="904"/>
      <c r="L7" s="904"/>
      <c r="M7" s="905"/>
      <c r="N7" s="905"/>
      <c r="O7" s="906"/>
      <c r="P7" s="907"/>
      <c r="Q7" s="908"/>
      <c r="R7" s="907"/>
      <c r="S7" s="909"/>
      <c r="T7" s="910"/>
      <c r="U7" s="904"/>
      <c r="V7" s="905"/>
      <c r="W7" s="911"/>
      <c r="X7" s="912"/>
      <c r="Y7" s="903"/>
      <c r="Z7" s="913"/>
      <c r="AA7" s="913"/>
      <c r="AB7" s="914"/>
      <c r="AC7" s="915"/>
      <c r="AD7" s="916"/>
      <c r="AE7" s="1211"/>
      <c r="AF7" s="29"/>
      <c r="AG7" s="918" t="s">
        <v>46</v>
      </c>
    </row>
    <row r="8" spans="1:33" ht="37.5" customHeight="1">
      <c r="A8" s="1669"/>
      <c r="B8" s="1672"/>
      <c r="C8" s="567" t="s">
        <v>856</v>
      </c>
      <c r="D8" s="119" t="s">
        <v>861</v>
      </c>
      <c r="E8" s="777" t="s">
        <v>862</v>
      </c>
      <c r="F8" s="1466"/>
      <c r="G8" s="298" t="s">
        <v>863</v>
      </c>
      <c r="H8" s="733" t="s">
        <v>860</v>
      </c>
      <c r="I8" s="1470"/>
      <c r="J8" s="44"/>
      <c r="K8" s="51"/>
      <c r="L8" s="51"/>
      <c r="M8" s="55"/>
      <c r="N8" s="55"/>
      <c r="O8" s="669"/>
      <c r="P8" s="867"/>
      <c r="Q8" s="101"/>
      <c r="R8" s="867"/>
      <c r="S8" s="92"/>
      <c r="T8" s="617"/>
      <c r="U8" s="51"/>
      <c r="V8" s="55"/>
      <c r="W8" s="296"/>
      <c r="X8" s="121"/>
      <c r="Y8" s="38"/>
      <c r="Z8" s="103"/>
      <c r="AA8" s="103"/>
      <c r="AB8" s="1213"/>
      <c r="AC8" s="1214"/>
      <c r="AD8" s="54"/>
      <c r="AE8" s="88"/>
      <c r="AF8" s="29"/>
      <c r="AG8" s="962" t="s">
        <v>864</v>
      </c>
    </row>
    <row r="9" spans="1:33" s="64" customFormat="1" ht="42" customHeight="1">
      <c r="A9" s="1669"/>
      <c r="B9" s="1672"/>
      <c r="C9" s="1540" t="s">
        <v>856</v>
      </c>
      <c r="D9" s="1541" t="s">
        <v>865</v>
      </c>
      <c r="E9" s="1542" t="s">
        <v>866</v>
      </c>
      <c r="F9" s="1547"/>
      <c r="G9" s="1543" t="s">
        <v>859</v>
      </c>
      <c r="H9" s="1544" t="s">
        <v>860</v>
      </c>
      <c r="I9" s="1467"/>
      <c r="J9" s="995" t="s">
        <v>41</v>
      </c>
      <c r="K9" s="986" t="s">
        <v>867</v>
      </c>
      <c r="L9" s="709" t="s">
        <v>868</v>
      </c>
      <c r="M9" s="710" t="s">
        <v>869</v>
      </c>
      <c r="N9" s="990"/>
      <c r="O9" s="988" t="s">
        <v>46</v>
      </c>
      <c r="P9" s="643" t="s">
        <v>40</v>
      </c>
      <c r="Q9" s="385" t="s">
        <v>235</v>
      </c>
      <c r="R9" s="643" t="s">
        <v>40</v>
      </c>
      <c r="S9" s="435" t="s">
        <v>870</v>
      </c>
      <c r="T9" s="385">
        <v>8</v>
      </c>
      <c r="U9" s="385">
        <v>70</v>
      </c>
      <c r="V9" s="385">
        <v>2</v>
      </c>
      <c r="W9" s="805"/>
      <c r="X9" s="927" t="s">
        <v>65</v>
      </c>
      <c r="Y9" s="38" t="s">
        <v>200</v>
      </c>
      <c r="Z9" s="924" t="s">
        <v>52</v>
      </c>
      <c r="AA9" s="924" t="s">
        <v>52</v>
      </c>
      <c r="AB9" s="1193"/>
      <c r="AC9" s="134"/>
      <c r="AD9" s="1194" t="s">
        <v>40</v>
      </c>
      <c r="AE9" s="1206" t="s">
        <v>134</v>
      </c>
      <c r="AF9" s="1199" t="s">
        <v>871</v>
      </c>
      <c r="AG9" s="962"/>
    </row>
    <row r="10" spans="1:33" s="64" customFormat="1" ht="42" customHeight="1">
      <c r="A10" s="1669"/>
      <c r="B10" s="1673"/>
      <c r="C10" s="176" t="s">
        <v>856</v>
      </c>
      <c r="D10" s="176"/>
      <c r="E10" s="176" t="s">
        <v>872</v>
      </c>
      <c r="F10" s="1546">
        <v>2</v>
      </c>
      <c r="G10" s="419" t="s">
        <v>859</v>
      </c>
      <c r="H10" s="422" t="s">
        <v>860</v>
      </c>
      <c r="I10" s="1548"/>
      <c r="J10" s="995" t="s">
        <v>41</v>
      </c>
      <c r="K10" s="986" t="s">
        <v>873</v>
      </c>
      <c r="L10" s="709" t="s">
        <v>874</v>
      </c>
      <c r="M10" s="710" t="s">
        <v>875</v>
      </c>
      <c r="N10" s="990"/>
      <c r="O10" s="988" t="s">
        <v>46</v>
      </c>
      <c r="P10" s="643" t="s">
        <v>40</v>
      </c>
      <c r="Q10" s="385" t="s">
        <v>876</v>
      </c>
      <c r="R10" s="643" t="s">
        <v>40</v>
      </c>
      <c r="S10" s="435" t="s">
        <v>870</v>
      </c>
      <c r="T10" s="385">
        <v>8</v>
      </c>
      <c r="U10" s="385">
        <v>100</v>
      </c>
      <c r="V10" s="385">
        <v>4</v>
      </c>
      <c r="W10" s="805"/>
      <c r="X10" s="927" t="s">
        <v>65</v>
      </c>
      <c r="Y10" s="38" t="s">
        <v>200</v>
      </c>
      <c r="Z10" s="924" t="s">
        <v>52</v>
      </c>
      <c r="AA10" s="924" t="s">
        <v>52</v>
      </c>
      <c r="AB10" s="1193"/>
      <c r="AC10" s="134"/>
      <c r="AD10" s="1194" t="s">
        <v>40</v>
      </c>
      <c r="AE10" s="1206" t="s">
        <v>134</v>
      </c>
      <c r="AF10" s="1207" t="s">
        <v>871</v>
      </c>
      <c r="AG10" s="962"/>
    </row>
    <row r="11" spans="1:33" s="64" customFormat="1" ht="14.45" customHeight="1">
      <c r="A11" s="1669"/>
      <c r="B11" s="1673"/>
      <c r="C11" s="109"/>
      <c r="D11" s="109"/>
      <c r="E11" s="109"/>
      <c r="F11" s="1545"/>
      <c r="G11" s="432"/>
      <c r="H11" s="433"/>
      <c r="I11" s="1467"/>
      <c r="J11" s="995" t="s">
        <v>41</v>
      </c>
      <c r="K11" s="986" t="s">
        <v>877</v>
      </c>
      <c r="L11" s="709" t="s">
        <v>874</v>
      </c>
      <c r="M11" s="710" t="s">
        <v>878</v>
      </c>
      <c r="N11" s="990"/>
      <c r="O11" s="988" t="s">
        <v>46</v>
      </c>
      <c r="P11" s="643" t="s">
        <v>40</v>
      </c>
      <c r="Q11" s="385" t="s">
        <v>876</v>
      </c>
      <c r="R11" s="643" t="s">
        <v>329</v>
      </c>
      <c r="S11" s="435" t="s">
        <v>870</v>
      </c>
      <c r="T11" s="385">
        <v>8</v>
      </c>
      <c r="U11" s="385">
        <v>100</v>
      </c>
      <c r="V11" s="385"/>
      <c r="W11" s="805"/>
      <c r="X11" s="927" t="s">
        <v>65</v>
      </c>
      <c r="Y11" s="38" t="s">
        <v>200</v>
      </c>
      <c r="Z11" s="924" t="s">
        <v>52</v>
      </c>
      <c r="AA11" s="924" t="s">
        <v>52</v>
      </c>
      <c r="AB11" s="1193"/>
      <c r="AC11" s="134"/>
      <c r="AD11" s="1194" t="s">
        <v>40</v>
      </c>
      <c r="AE11" s="1206" t="s">
        <v>134</v>
      </c>
      <c r="AF11" s="1199" t="s">
        <v>871</v>
      </c>
      <c r="AG11" s="962"/>
    </row>
    <row r="12" spans="1:33" s="64" customFormat="1" ht="42" customHeight="1">
      <c r="A12" s="1669"/>
      <c r="B12" s="1673"/>
      <c r="C12"/>
      <c r="D12"/>
      <c r="E12"/>
      <c r="F12"/>
      <c r="G12"/>
      <c r="H12"/>
      <c r="I12" s="1467"/>
      <c r="J12" s="995" t="s">
        <v>41</v>
      </c>
      <c r="K12" s="986" t="s">
        <v>879</v>
      </c>
      <c r="L12" s="709" t="s">
        <v>880</v>
      </c>
      <c r="M12" s="710" t="s">
        <v>881</v>
      </c>
      <c r="N12" s="990"/>
      <c r="O12" s="988" t="s">
        <v>46</v>
      </c>
      <c r="P12" s="643" t="s">
        <v>40</v>
      </c>
      <c r="Q12" s="385" t="s">
        <v>882</v>
      </c>
      <c r="R12" s="643" t="s">
        <v>40</v>
      </c>
      <c r="S12" s="435" t="s">
        <v>870</v>
      </c>
      <c r="T12" s="385">
        <v>16</v>
      </c>
      <c r="U12" s="385">
        <v>100</v>
      </c>
      <c r="V12" s="385">
        <v>8</v>
      </c>
      <c r="W12" s="805"/>
      <c r="X12" s="484" t="s">
        <v>86</v>
      </c>
      <c r="Y12" s="299" t="s">
        <v>883</v>
      </c>
      <c r="Z12" s="924"/>
      <c r="AA12" s="924"/>
      <c r="AB12" s="1193"/>
      <c r="AC12" s="134"/>
      <c r="AD12" s="1194" t="s">
        <v>40</v>
      </c>
      <c r="AE12" s="925" t="s">
        <v>134</v>
      </c>
      <c r="AF12" s="1198" t="s">
        <v>884</v>
      </c>
      <c r="AG12" s="962"/>
    </row>
    <row r="13" spans="1:33" s="64" customFormat="1" ht="42" customHeight="1">
      <c r="A13" s="1669"/>
      <c r="B13" s="1672"/>
      <c r="C13"/>
      <c r="D13"/>
      <c r="E13"/>
      <c r="F13"/>
      <c r="G13"/>
      <c r="H13"/>
      <c r="I13" s="1467"/>
      <c r="J13" s="995" t="s">
        <v>41</v>
      </c>
      <c r="K13" s="986" t="s">
        <v>885</v>
      </c>
      <c r="L13" s="709" t="s">
        <v>886</v>
      </c>
      <c r="M13" s="710" t="s">
        <v>887</v>
      </c>
      <c r="N13" s="990"/>
      <c r="O13" s="988" t="s">
        <v>46</v>
      </c>
      <c r="P13" s="643" t="s">
        <v>40</v>
      </c>
      <c r="Q13" s="385" t="s">
        <v>882</v>
      </c>
      <c r="R13" s="643" t="s">
        <v>40</v>
      </c>
      <c r="S13" s="435" t="s">
        <v>870</v>
      </c>
      <c r="T13" s="385">
        <v>8</v>
      </c>
      <c r="U13" s="385">
        <v>50</v>
      </c>
      <c r="V13" s="385">
        <v>4</v>
      </c>
      <c r="W13" s="805"/>
      <c r="X13" s="484" t="s">
        <v>86</v>
      </c>
      <c r="Y13" s="299" t="s">
        <v>883</v>
      </c>
      <c r="Z13" s="38"/>
      <c r="AA13" s="133"/>
      <c r="AB13" s="1193"/>
      <c r="AC13" s="134"/>
      <c r="AD13" s="1194" t="s">
        <v>40</v>
      </c>
      <c r="AE13" s="925" t="s">
        <v>134</v>
      </c>
      <c r="AF13" s="1198" t="s">
        <v>884</v>
      </c>
      <c r="AG13" s="962"/>
    </row>
    <row r="14" spans="1:33" s="64" customFormat="1" ht="42" customHeight="1">
      <c r="A14" s="1669"/>
      <c r="B14" s="1672"/>
      <c r="C14"/>
      <c r="D14"/>
      <c r="E14"/>
      <c r="F14"/>
      <c r="G14"/>
      <c r="H14"/>
      <c r="I14" s="1539"/>
      <c r="J14" s="995" t="s">
        <v>41</v>
      </c>
      <c r="K14" s="986" t="s">
        <v>888</v>
      </c>
      <c r="L14" s="709" t="s">
        <v>889</v>
      </c>
      <c r="M14" s="710" t="s">
        <v>890</v>
      </c>
      <c r="N14" s="990"/>
      <c r="O14" s="988"/>
      <c r="P14" s="643"/>
      <c r="Q14" s="385"/>
      <c r="R14" s="643"/>
      <c r="S14" s="435" t="s">
        <v>870</v>
      </c>
      <c r="T14" s="385">
        <v>16</v>
      </c>
      <c r="U14" s="385">
        <v>100</v>
      </c>
      <c r="V14" s="385">
        <v>8</v>
      </c>
      <c r="W14" s="805"/>
      <c r="X14" s="484" t="s">
        <v>86</v>
      </c>
      <c r="Y14" s="38" t="s">
        <v>200</v>
      </c>
      <c r="Z14" s="38"/>
      <c r="AA14" s="133"/>
      <c r="AB14" s="1193"/>
      <c r="AC14" s="134"/>
      <c r="AD14" s="1194"/>
      <c r="AE14" s="925" t="s">
        <v>134</v>
      </c>
      <c r="AF14" s="1198" t="s">
        <v>891</v>
      </c>
      <c r="AG14" s="962"/>
    </row>
    <row r="15" spans="1:33" s="64" customFormat="1" ht="42" customHeight="1">
      <c r="A15" s="1669"/>
      <c r="B15" s="1672"/>
      <c r="C15"/>
      <c r="D15"/>
      <c r="E15"/>
      <c r="F15"/>
      <c r="G15"/>
      <c r="H15"/>
      <c r="I15" s="1467"/>
      <c r="J15" s="995" t="s">
        <v>41</v>
      </c>
      <c r="K15" s="986" t="s">
        <v>892</v>
      </c>
      <c r="L15" s="709" t="s">
        <v>893</v>
      </c>
      <c r="M15" s="710" t="s">
        <v>894</v>
      </c>
      <c r="N15" s="990"/>
      <c r="O15" s="988"/>
      <c r="P15" s="643"/>
      <c r="Q15" s="385"/>
      <c r="R15" s="643"/>
      <c r="S15" s="435" t="s">
        <v>870</v>
      </c>
      <c r="T15" s="385">
        <v>8</v>
      </c>
      <c r="U15" s="385">
        <v>50</v>
      </c>
      <c r="V15" s="385">
        <v>4</v>
      </c>
      <c r="W15" s="805"/>
      <c r="X15" s="484" t="s">
        <v>86</v>
      </c>
      <c r="Y15" s="38" t="s">
        <v>200</v>
      </c>
      <c r="Z15" s="38"/>
      <c r="AA15" s="133"/>
      <c r="AB15" s="1193"/>
      <c r="AC15" s="134"/>
      <c r="AD15" s="1194"/>
      <c r="AE15" s="925" t="s">
        <v>134</v>
      </c>
      <c r="AF15" s="1209" t="s">
        <v>891</v>
      </c>
      <c r="AG15" s="962"/>
    </row>
    <row r="16" spans="1:33" s="64" customFormat="1" ht="42" customHeight="1">
      <c r="A16" s="1669"/>
      <c r="B16" s="1672"/>
      <c r="C16"/>
      <c r="D16"/>
      <c r="E16"/>
      <c r="F16"/>
      <c r="G16"/>
      <c r="H16"/>
      <c r="I16" s="1467"/>
      <c r="J16" s="995" t="s">
        <v>41</v>
      </c>
      <c r="K16" s="986" t="s">
        <v>895</v>
      </c>
      <c r="L16" s="709" t="s">
        <v>896</v>
      </c>
      <c r="M16" s="710" t="s">
        <v>897</v>
      </c>
      <c r="N16" s="990"/>
      <c r="O16" s="988" t="s">
        <v>46</v>
      </c>
      <c r="P16" s="643" t="s">
        <v>40</v>
      </c>
      <c r="Q16" s="385" t="s">
        <v>898</v>
      </c>
      <c r="R16" s="643" t="s">
        <v>40</v>
      </c>
      <c r="S16" s="235" t="s">
        <v>899</v>
      </c>
      <c r="T16" s="385">
        <v>4</v>
      </c>
      <c r="U16" s="385">
        <v>100</v>
      </c>
      <c r="V16" s="385">
        <v>4</v>
      </c>
      <c r="W16" s="805"/>
      <c r="X16" s="484" t="s">
        <v>50</v>
      </c>
      <c r="Y16" s="38" t="s">
        <v>200</v>
      </c>
      <c r="Z16" s="38"/>
      <c r="AA16" s="133"/>
      <c r="AB16" s="1193"/>
      <c r="AC16" s="134"/>
      <c r="AD16" s="1194" t="s">
        <v>40</v>
      </c>
      <c r="AE16" s="925" t="s">
        <v>134</v>
      </c>
      <c r="AF16" s="1209" t="s">
        <v>884</v>
      </c>
      <c r="AG16" s="962"/>
    </row>
    <row r="17" spans="1:38" s="64" customFormat="1" ht="42" customHeight="1">
      <c r="A17" s="1669"/>
      <c r="B17" s="1672"/>
      <c r="C17"/>
      <c r="D17"/>
      <c r="E17"/>
      <c r="F17"/>
      <c r="G17"/>
      <c r="H17"/>
      <c r="I17" s="1467"/>
      <c r="J17" s="995" t="s">
        <v>41</v>
      </c>
      <c r="K17" s="1376" t="s">
        <v>900</v>
      </c>
      <c r="L17" s="1377"/>
      <c r="M17" s="1378" t="s">
        <v>901</v>
      </c>
      <c r="N17" s="990"/>
      <c r="O17" s="988"/>
      <c r="P17" s="643"/>
      <c r="Q17" s="385"/>
      <c r="R17" s="1429"/>
      <c r="S17" s="234"/>
      <c r="T17" s="425"/>
      <c r="U17" s="385"/>
      <c r="V17" s="385"/>
      <c r="W17" s="805"/>
      <c r="X17" s="1374"/>
      <c r="Y17" s="38"/>
      <c r="Z17" s="38"/>
      <c r="AA17" s="133"/>
      <c r="AB17" s="1193"/>
      <c r="AC17" s="134"/>
      <c r="AD17" s="1194"/>
      <c r="AE17" s="1206"/>
      <c r="AF17" s="1375"/>
      <c r="AG17" s="962"/>
    </row>
    <row r="18" spans="1:38" s="64" customFormat="1" ht="42" customHeight="1">
      <c r="A18" s="1669"/>
      <c r="B18" s="1672"/>
      <c r="C18"/>
      <c r="D18"/>
      <c r="E18"/>
      <c r="F18"/>
      <c r="G18"/>
      <c r="H18"/>
      <c r="I18" s="1467"/>
      <c r="J18" s="995" t="s">
        <v>41</v>
      </c>
      <c r="K18" s="1376" t="s">
        <v>902</v>
      </c>
      <c r="L18" s="1377"/>
      <c r="M18" s="1378" t="s">
        <v>903</v>
      </c>
      <c r="N18" s="990"/>
      <c r="O18" s="988"/>
      <c r="P18" s="643"/>
      <c r="Q18" s="385"/>
      <c r="R18" s="1429"/>
      <c r="S18" s="235"/>
      <c r="T18" s="1551"/>
      <c r="U18" s="1552"/>
      <c r="V18" s="1552"/>
      <c r="W18" s="805"/>
      <c r="X18" s="1374"/>
      <c r="Y18" s="38"/>
      <c r="Z18" s="38"/>
      <c r="AA18" s="133"/>
      <c r="AB18" s="1193"/>
      <c r="AC18" s="134"/>
      <c r="AD18" s="1194"/>
      <c r="AE18" s="1206"/>
      <c r="AF18" s="1375"/>
      <c r="AG18" s="962"/>
    </row>
    <row r="19" spans="1:38" s="93" customFormat="1" ht="42" customHeight="1">
      <c r="A19" s="1669"/>
      <c r="B19" s="1672"/>
      <c r="C19" s="109"/>
      <c r="D19" s="109"/>
      <c r="E19" s="109"/>
      <c r="F19" s="109"/>
      <c r="G19" s="109"/>
      <c r="H19" s="109"/>
      <c r="I19" s="1467"/>
      <c r="J19" s="44" t="s">
        <v>41</v>
      </c>
      <c r="K19" s="571" t="s">
        <v>904</v>
      </c>
      <c r="L19" s="709" t="s">
        <v>905</v>
      </c>
      <c r="M19" s="125" t="s">
        <v>906</v>
      </c>
      <c r="N19" s="1381"/>
      <c r="O19" s="768" t="s">
        <v>46</v>
      </c>
      <c r="P19" s="883" t="s">
        <v>40</v>
      </c>
      <c r="Q19" s="564"/>
      <c r="R19" s="1370" t="s">
        <v>40</v>
      </c>
      <c r="S19" s="125" t="s">
        <v>870</v>
      </c>
      <c r="T19" s="125">
        <v>16</v>
      </c>
      <c r="U19" s="125">
        <v>250</v>
      </c>
      <c r="V19" s="125">
        <v>4</v>
      </c>
      <c r="W19" s="630" t="s">
        <v>50</v>
      </c>
      <c r="X19" s="1382" t="s">
        <v>50</v>
      </c>
      <c r="Y19" s="299" t="s">
        <v>883</v>
      </c>
      <c r="Z19" s="38"/>
      <c r="AA19" s="38"/>
      <c r="AB19" s="119"/>
      <c r="AC19" s="1383"/>
      <c r="AD19" s="181" t="s">
        <v>40</v>
      </c>
      <c r="AE19" s="119" t="s">
        <v>134</v>
      </c>
      <c r="AF19" s="109" t="s">
        <v>907</v>
      </c>
      <c r="AG19" s="1384"/>
    </row>
    <row r="20" spans="1:38" s="93" customFormat="1" ht="42" customHeight="1">
      <c r="A20" s="1669"/>
      <c r="B20" s="1672"/>
      <c r="C20" s="109"/>
      <c r="D20" s="109"/>
      <c r="E20" s="109"/>
      <c r="F20" s="109"/>
      <c r="G20" s="109"/>
      <c r="H20" s="109"/>
      <c r="I20" s="1467"/>
      <c r="J20" s="44" t="s">
        <v>41</v>
      </c>
      <c r="K20" s="1549" t="s">
        <v>908</v>
      </c>
      <c r="L20" s="709"/>
      <c r="M20" s="432" t="s">
        <v>909</v>
      </c>
      <c r="N20" s="1550"/>
      <c r="O20" s="645"/>
      <c r="P20" s="645"/>
      <c r="Q20" s="297"/>
      <c r="R20" s="654" t="s">
        <v>40</v>
      </c>
      <c r="S20" s="234" t="s">
        <v>899</v>
      </c>
      <c r="T20" s="125"/>
      <c r="U20" s="125"/>
      <c r="V20" s="125"/>
      <c r="W20" s="630"/>
      <c r="X20" s="1382"/>
      <c r="Y20" s="299"/>
      <c r="Z20" s="38"/>
      <c r="AA20" s="133"/>
      <c r="AB20" s="119"/>
      <c r="AC20" s="1383"/>
      <c r="AD20" s="609"/>
      <c r="AE20" s="952"/>
      <c r="AF20" s="109"/>
      <c r="AG20" s="1439"/>
    </row>
    <row r="21" spans="1:38" s="64" customFormat="1" ht="42" customHeight="1">
      <c r="A21" s="1669"/>
      <c r="B21" s="1672"/>
      <c r="C21"/>
      <c r="D21"/>
      <c r="E21"/>
      <c r="F21"/>
      <c r="G21"/>
      <c r="H21"/>
      <c r="I21" s="1467"/>
      <c r="J21" s="995" t="s">
        <v>41</v>
      </c>
      <c r="K21" s="986" t="s">
        <v>910</v>
      </c>
      <c r="L21" s="709" t="s">
        <v>911</v>
      </c>
      <c r="M21" s="710" t="s">
        <v>912</v>
      </c>
      <c r="N21" s="990"/>
      <c r="O21" s="988"/>
      <c r="P21" s="643" t="s">
        <v>40</v>
      </c>
      <c r="Q21" s="784" t="s">
        <v>882</v>
      </c>
      <c r="R21" s="1446" t="s">
        <v>40</v>
      </c>
      <c r="S21" s="1203" t="s">
        <v>870</v>
      </c>
      <c r="T21" s="784">
        <v>16</v>
      </c>
      <c r="U21" s="784">
        <v>250</v>
      </c>
      <c r="V21" s="784">
        <v>4</v>
      </c>
      <c r="W21" s="805"/>
      <c r="X21" s="484" t="s">
        <v>86</v>
      </c>
      <c r="Y21" s="38" t="s">
        <v>200</v>
      </c>
      <c r="Z21" s="38"/>
      <c r="AA21" s="133"/>
      <c r="AB21" s="1193"/>
      <c r="AC21" s="134"/>
      <c r="AD21" s="1194" t="s">
        <v>40</v>
      </c>
      <c r="AE21" s="925" t="s">
        <v>134</v>
      </c>
      <c r="AF21" s="1198" t="s">
        <v>884</v>
      </c>
      <c r="AG21" s="962"/>
    </row>
    <row r="22" spans="1:38" s="64" customFormat="1" ht="42" customHeight="1">
      <c r="A22" s="1669"/>
      <c r="B22" s="1672"/>
      <c r="C22"/>
      <c r="D22"/>
      <c r="E22"/>
      <c r="F22"/>
      <c r="G22"/>
      <c r="H22"/>
      <c r="I22" s="1467"/>
      <c r="J22" s="995" t="s">
        <v>41</v>
      </c>
      <c r="K22" s="986" t="s">
        <v>913</v>
      </c>
      <c r="L22" s="709" t="s">
        <v>914</v>
      </c>
      <c r="M22" s="710" t="s">
        <v>915</v>
      </c>
      <c r="N22" s="990"/>
      <c r="O22" s="643" t="s">
        <v>40</v>
      </c>
      <c r="P22" s="988" t="s">
        <v>46</v>
      </c>
      <c r="Q22" s="385"/>
      <c r="R22" s="643" t="s">
        <v>40</v>
      </c>
      <c r="S22" s="1430" t="s">
        <v>870</v>
      </c>
      <c r="T22" s="385">
        <v>4</v>
      </c>
      <c r="U22" s="385">
        <v>80</v>
      </c>
      <c r="V22" s="385">
        <v>4</v>
      </c>
      <c r="W22" s="805"/>
      <c r="X22" s="927" t="s">
        <v>65</v>
      </c>
      <c r="Y22" s="38" t="s">
        <v>200</v>
      </c>
      <c r="Z22" s="38"/>
      <c r="AA22" s="133"/>
      <c r="AB22" s="1193"/>
      <c r="AC22" s="134"/>
      <c r="AD22" s="1194" t="s">
        <v>40</v>
      </c>
      <c r="AE22" s="925" t="s">
        <v>134</v>
      </c>
      <c r="AF22" s="1197" t="s">
        <v>871</v>
      </c>
      <c r="AG22" s="962"/>
    </row>
    <row r="23" spans="1:38" s="629" customFormat="1" ht="42" customHeight="1">
      <c r="A23" s="1669"/>
      <c r="B23" s="1672"/>
      <c r="I23" s="1488"/>
      <c r="J23" s="1471" t="s">
        <v>41</v>
      </c>
      <c r="K23" s="1472" t="s">
        <v>916</v>
      </c>
      <c r="L23" s="1473" t="s">
        <v>917</v>
      </c>
      <c r="M23" s="1474" t="s">
        <v>918</v>
      </c>
      <c r="N23" s="1475"/>
      <c r="O23" s="1476"/>
      <c r="P23" s="1477"/>
      <c r="Q23" s="1478" t="s">
        <v>919</v>
      </c>
      <c r="R23" s="1477" t="s">
        <v>40</v>
      </c>
      <c r="S23" s="1479" t="s">
        <v>870</v>
      </c>
      <c r="T23" s="1478">
        <v>16</v>
      </c>
      <c r="U23" s="1478">
        <v>100</v>
      </c>
      <c r="V23" s="1478">
        <v>8</v>
      </c>
      <c r="W23" s="1479"/>
      <c r="X23" s="1480" t="s">
        <v>50</v>
      </c>
      <c r="Y23" s="1481" t="s">
        <v>883</v>
      </c>
      <c r="Z23" s="1481" t="s">
        <v>40</v>
      </c>
      <c r="AA23" s="1482"/>
      <c r="AB23" s="1483"/>
      <c r="AC23" s="1483"/>
      <c r="AD23" s="1484" t="s">
        <v>40</v>
      </c>
      <c r="AE23" s="1485" t="s">
        <v>134</v>
      </c>
      <c r="AF23" s="1486" t="s">
        <v>920</v>
      </c>
      <c r="AG23" s="1487"/>
    </row>
    <row r="24" spans="1:38" ht="42" customHeight="1">
      <c r="A24" s="1669"/>
      <c r="B24" s="1672"/>
      <c r="I24" s="1467"/>
      <c r="J24" s="1523" t="s">
        <v>41</v>
      </c>
      <c r="K24" s="986" t="s">
        <v>921</v>
      </c>
      <c r="L24" s="1524" t="s">
        <v>922</v>
      </c>
      <c r="M24" s="1525" t="s">
        <v>923</v>
      </c>
      <c r="N24" s="1526" t="s">
        <v>680</v>
      </c>
      <c r="O24" s="1527" t="s">
        <v>40</v>
      </c>
      <c r="P24" s="651"/>
      <c r="Q24" s="1531" t="s">
        <v>850</v>
      </c>
      <c r="R24" s="651" t="s">
        <v>40</v>
      </c>
      <c r="S24" s="435" t="s">
        <v>924</v>
      </c>
      <c r="T24" s="99">
        <v>12</v>
      </c>
      <c r="U24" s="99">
        <v>200</v>
      </c>
      <c r="V24" s="99">
        <v>6</v>
      </c>
      <c r="W24" s="102" t="s">
        <v>50</v>
      </c>
      <c r="X24" s="485" t="s">
        <v>50</v>
      </c>
      <c r="Y24" s="174" t="s">
        <v>200</v>
      </c>
      <c r="Z24" s="38"/>
      <c r="AA24" s="133"/>
      <c r="AB24" s="97"/>
      <c r="AC24" s="97"/>
      <c r="AD24" s="567"/>
      <c r="AE24" s="925"/>
      <c r="AF24" s="1198"/>
      <c r="AG24" s="962"/>
    </row>
    <row r="25" spans="1:38" s="64" customFormat="1" ht="42" customHeight="1">
      <c r="A25" s="1669"/>
      <c r="B25" s="1672"/>
      <c r="C25" s="109"/>
      <c r="D25" s="109"/>
      <c r="E25" s="109"/>
      <c r="F25" s="109"/>
      <c r="G25" s="109"/>
      <c r="H25" s="109"/>
      <c r="I25" s="1468"/>
      <c r="J25" s="1451" t="s">
        <v>41</v>
      </c>
      <c r="K25" s="1372" t="s">
        <v>925</v>
      </c>
      <c r="L25" s="282" t="s">
        <v>926</v>
      </c>
      <c r="M25" s="564" t="s">
        <v>927</v>
      </c>
      <c r="N25" s="1452"/>
      <c r="O25" s="1370" t="s">
        <v>46</v>
      </c>
      <c r="P25" s="883" t="s">
        <v>40</v>
      </c>
      <c r="Q25" s="564"/>
      <c r="R25" s="1370" t="s">
        <v>40</v>
      </c>
      <c r="S25" s="1430" t="s">
        <v>870</v>
      </c>
      <c r="T25" s="597">
        <v>16</v>
      </c>
      <c r="U25" s="564">
        <v>250</v>
      </c>
      <c r="V25" s="564">
        <v>4</v>
      </c>
      <c r="W25" s="1453" t="s">
        <v>50</v>
      </c>
      <c r="X25" s="1382" t="s">
        <v>50</v>
      </c>
      <c r="Y25" s="299" t="s">
        <v>883</v>
      </c>
      <c r="Z25" s="154"/>
      <c r="AA25" s="154"/>
      <c r="AB25" s="608"/>
      <c r="AC25" s="1454"/>
      <c r="AD25" s="952" t="s">
        <v>40</v>
      </c>
      <c r="AE25" s="608" t="s">
        <v>134</v>
      </c>
      <c r="AF25" s="109" t="s">
        <v>907</v>
      </c>
      <c r="AG25" s="1384"/>
      <c r="AH25" s="93"/>
      <c r="AI25" s="93"/>
      <c r="AJ25" s="93"/>
      <c r="AK25" s="93"/>
      <c r="AL25" s="93"/>
    </row>
    <row r="26" spans="1:38" s="63" customFormat="1" ht="42" customHeight="1">
      <c r="A26" s="1669"/>
      <c r="B26" s="1672"/>
      <c r="C26" s="109"/>
      <c r="D26" s="109"/>
      <c r="E26" s="109"/>
      <c r="F26" s="109"/>
      <c r="G26" s="109"/>
      <c r="H26" s="109"/>
      <c r="I26" s="1467"/>
      <c r="J26" s="44" t="s">
        <v>41</v>
      </c>
      <c r="K26" s="1456" t="s">
        <v>928</v>
      </c>
      <c r="L26" s="106" t="s">
        <v>905</v>
      </c>
      <c r="M26" s="1455" t="s">
        <v>927</v>
      </c>
      <c r="N26" s="1381"/>
      <c r="O26" s="644"/>
      <c r="P26" s="644"/>
      <c r="Q26" s="125"/>
      <c r="R26" s="644"/>
      <c r="S26" s="1430" t="s">
        <v>870</v>
      </c>
      <c r="T26" s="125">
        <v>16</v>
      </c>
      <c r="U26" s="125">
        <v>250</v>
      </c>
      <c r="V26" s="125">
        <v>4</v>
      </c>
      <c r="W26" s="125"/>
      <c r="X26" s="484" t="s">
        <v>86</v>
      </c>
      <c r="Y26" s="1458" t="s">
        <v>883</v>
      </c>
      <c r="AA26" s="44"/>
      <c r="AB26" s="119"/>
      <c r="AC26" s="119"/>
      <c r="AD26" s="119" t="s">
        <v>40</v>
      </c>
      <c r="AE26" s="119" t="s">
        <v>134</v>
      </c>
      <c r="AF26" s="119" t="s">
        <v>907</v>
      </c>
      <c r="AG26" s="119"/>
      <c r="AH26" s="176"/>
      <c r="AI26" s="176"/>
      <c r="AJ26" s="176"/>
      <c r="AK26" s="176"/>
      <c r="AL26" s="176"/>
    </row>
    <row r="27" spans="1:38" s="64" customFormat="1" ht="42" customHeight="1">
      <c r="A27" s="1669"/>
      <c r="B27" s="1672"/>
      <c r="C27"/>
      <c r="D27"/>
      <c r="E27"/>
      <c r="F27"/>
      <c r="G27"/>
      <c r="H27"/>
      <c r="I27" s="1539"/>
      <c r="J27" s="1440" t="s">
        <v>41</v>
      </c>
      <c r="K27" s="1441" t="s">
        <v>929</v>
      </c>
      <c r="L27" s="1442" t="s">
        <v>911</v>
      </c>
      <c r="M27" s="1443" t="s">
        <v>930</v>
      </c>
      <c r="N27" s="1444"/>
      <c r="O27" s="1445"/>
      <c r="P27" s="1446" t="s">
        <v>40</v>
      </c>
      <c r="Q27" s="784" t="s">
        <v>882</v>
      </c>
      <c r="R27" s="1446" t="s">
        <v>40</v>
      </c>
      <c r="S27" s="1203" t="s">
        <v>870</v>
      </c>
      <c r="T27" s="784">
        <v>16</v>
      </c>
      <c r="U27" s="784">
        <v>250</v>
      </c>
      <c r="V27" s="784">
        <v>4</v>
      </c>
      <c r="W27" s="1447"/>
      <c r="X27" s="1374" t="s">
        <v>86</v>
      </c>
      <c r="Y27" s="174" t="s">
        <v>200</v>
      </c>
      <c r="Z27" s="174"/>
      <c r="AA27" s="157"/>
      <c r="AB27" s="1448"/>
      <c r="AC27" s="1449"/>
      <c r="AD27" s="1450" t="s">
        <v>40</v>
      </c>
      <c r="AE27" s="925" t="s">
        <v>134</v>
      </c>
      <c r="AF27" s="1208" t="s">
        <v>884</v>
      </c>
      <c r="AG27" s="963"/>
    </row>
    <row r="28" spans="1:38" s="64" customFormat="1" ht="42" customHeight="1">
      <c r="A28" s="1669"/>
      <c r="B28" s="1672"/>
      <c r="C28"/>
      <c r="D28"/>
      <c r="E28"/>
      <c r="F28"/>
      <c r="G28"/>
      <c r="H28"/>
      <c r="I28" s="1467"/>
      <c r="J28" s="995" t="s">
        <v>41</v>
      </c>
      <c r="K28" s="986" t="s">
        <v>931</v>
      </c>
      <c r="L28" s="709" t="s">
        <v>932</v>
      </c>
      <c r="M28" s="710" t="s">
        <v>933</v>
      </c>
      <c r="N28" s="990"/>
      <c r="O28" s="988" t="s">
        <v>46</v>
      </c>
      <c r="P28" s="643" t="s">
        <v>40</v>
      </c>
      <c r="Q28" s="385" t="s">
        <v>876</v>
      </c>
      <c r="R28" s="643" t="s">
        <v>40</v>
      </c>
      <c r="S28" s="435" t="s">
        <v>870</v>
      </c>
      <c r="T28" s="385">
        <v>8</v>
      </c>
      <c r="U28" s="385">
        <v>100</v>
      </c>
      <c r="V28" s="385">
        <v>4</v>
      </c>
      <c r="W28" s="805"/>
      <c r="X28" s="927" t="s">
        <v>65</v>
      </c>
      <c r="Y28" s="38" t="s">
        <v>200</v>
      </c>
      <c r="Z28" s="38"/>
      <c r="AA28" s="133"/>
      <c r="AB28" s="1193"/>
      <c r="AC28" s="134"/>
      <c r="AD28" s="1194" t="s">
        <v>40</v>
      </c>
      <c r="AE28" s="1206" t="s">
        <v>134</v>
      </c>
      <c r="AF28" s="1207" t="s">
        <v>871</v>
      </c>
      <c r="AG28" s="962"/>
    </row>
    <row r="29" spans="1:38" s="64" customFormat="1" ht="42" customHeight="1">
      <c r="A29" s="1669"/>
      <c r="B29" s="1672"/>
      <c r="C29"/>
      <c r="D29"/>
      <c r="E29"/>
      <c r="F29"/>
      <c r="G29"/>
      <c r="H29"/>
      <c r="I29" s="1467"/>
      <c r="J29" s="995" t="s">
        <v>41</v>
      </c>
      <c r="K29" s="986" t="s">
        <v>934</v>
      </c>
      <c r="L29" s="709" t="s">
        <v>935</v>
      </c>
      <c r="M29" s="710" t="s">
        <v>936</v>
      </c>
      <c r="N29" s="990"/>
      <c r="O29" s="988" t="s">
        <v>46</v>
      </c>
      <c r="P29" s="643" t="s">
        <v>40</v>
      </c>
      <c r="Q29" s="385" t="s">
        <v>876</v>
      </c>
      <c r="R29" s="643" t="s">
        <v>40</v>
      </c>
      <c r="S29" s="234" t="s">
        <v>899</v>
      </c>
      <c r="T29" s="385">
        <v>8</v>
      </c>
      <c r="U29" s="385">
        <v>100</v>
      </c>
      <c r="V29" s="385">
        <v>4</v>
      </c>
      <c r="W29" s="805"/>
      <c r="X29" s="927" t="s">
        <v>65</v>
      </c>
      <c r="Y29" s="38" t="s">
        <v>200</v>
      </c>
      <c r="Z29" s="38"/>
      <c r="AA29" s="133"/>
      <c r="AB29" s="1193"/>
      <c r="AC29" s="134"/>
      <c r="AD29" s="1194" t="s">
        <v>40</v>
      </c>
      <c r="AE29" s="1206" t="s">
        <v>134</v>
      </c>
      <c r="AF29" s="1199" t="s">
        <v>871</v>
      </c>
      <c r="AG29" s="962"/>
    </row>
    <row r="30" spans="1:38" s="64" customFormat="1" ht="42" customHeight="1">
      <c r="A30" s="1669"/>
      <c r="B30" s="1672"/>
      <c r="C30"/>
      <c r="D30"/>
      <c r="E30"/>
      <c r="F30"/>
      <c r="G30"/>
      <c r="H30"/>
      <c r="I30" s="1467"/>
      <c r="J30" s="995" t="s">
        <v>41</v>
      </c>
      <c r="K30" s="986" t="s">
        <v>937</v>
      </c>
      <c r="L30" s="709" t="s">
        <v>938</v>
      </c>
      <c r="M30" s="710" t="s">
        <v>939</v>
      </c>
      <c r="N30" s="990"/>
      <c r="O30" s="988"/>
      <c r="P30" s="643" t="s">
        <v>940</v>
      </c>
      <c r="Q30" s="385" t="s">
        <v>898</v>
      </c>
      <c r="R30" s="643" t="s">
        <v>40</v>
      </c>
      <c r="S30" s="234" t="s">
        <v>899</v>
      </c>
      <c r="T30" s="385">
        <v>4</v>
      </c>
      <c r="U30" s="385">
        <v>100</v>
      </c>
      <c r="V30" s="385">
        <v>4</v>
      </c>
      <c r="W30" s="805"/>
      <c r="X30" s="484" t="s">
        <v>50</v>
      </c>
      <c r="Y30" s="38" t="s">
        <v>883</v>
      </c>
      <c r="Z30" s="38"/>
      <c r="AA30" s="133"/>
      <c r="AB30" s="1193"/>
      <c r="AC30" s="134"/>
      <c r="AD30" s="1194" t="s">
        <v>40</v>
      </c>
      <c r="AE30" s="925" t="s">
        <v>134</v>
      </c>
      <c r="AF30" s="1209" t="s">
        <v>884</v>
      </c>
      <c r="AG30" s="962"/>
    </row>
    <row r="31" spans="1:38" s="64" customFormat="1" ht="42" customHeight="1">
      <c r="A31" s="1669"/>
      <c r="B31" s="1672"/>
      <c r="C31"/>
      <c r="D31"/>
      <c r="E31"/>
      <c r="F31"/>
      <c r="G31"/>
      <c r="H31"/>
      <c r="I31" s="1467"/>
      <c r="J31" s="995" t="s">
        <v>41</v>
      </c>
      <c r="K31" s="986" t="s">
        <v>941</v>
      </c>
      <c r="L31" s="709"/>
      <c r="M31" s="710" t="s">
        <v>894</v>
      </c>
      <c r="N31" s="990"/>
      <c r="O31" s="988"/>
      <c r="P31" s="643"/>
      <c r="Q31" s="385" t="s">
        <v>882</v>
      </c>
      <c r="R31" s="643" t="s">
        <v>40</v>
      </c>
      <c r="S31" s="808" t="s">
        <v>870</v>
      </c>
      <c r="T31" s="385">
        <v>16</v>
      </c>
      <c r="U31" s="385">
        <v>100</v>
      </c>
      <c r="V31" s="385">
        <v>8</v>
      </c>
      <c r="W31" s="805"/>
      <c r="X31" s="1374" t="s">
        <v>86</v>
      </c>
      <c r="Y31" s="38" t="s">
        <v>942</v>
      </c>
      <c r="Z31" s="38"/>
      <c r="AA31" s="133"/>
      <c r="AB31" s="1193"/>
      <c r="AC31" s="134"/>
      <c r="AD31" s="1194"/>
      <c r="AE31" s="925" t="s">
        <v>134</v>
      </c>
      <c r="AF31" s="1528" t="s">
        <v>891</v>
      </c>
      <c r="AG31" s="962"/>
    </row>
    <row r="32" spans="1:38" s="64" customFormat="1" ht="42" customHeight="1">
      <c r="A32" s="1669"/>
      <c r="B32" s="1672"/>
      <c r="C32"/>
      <c r="D32"/>
      <c r="E32"/>
      <c r="F32"/>
      <c r="G32"/>
      <c r="H32"/>
      <c r="I32" s="1467"/>
      <c r="J32" s="995" t="s">
        <v>41</v>
      </c>
      <c r="K32" s="986" t="s">
        <v>943</v>
      </c>
      <c r="L32" s="709"/>
      <c r="M32" s="710" t="s">
        <v>890</v>
      </c>
      <c r="N32" s="990"/>
      <c r="O32" s="988"/>
      <c r="P32" s="643"/>
      <c r="Q32" s="385" t="s">
        <v>882</v>
      </c>
      <c r="R32" s="643" t="s">
        <v>40</v>
      </c>
      <c r="S32" s="808" t="s">
        <v>870</v>
      </c>
      <c r="T32" s="385">
        <v>16</v>
      </c>
      <c r="U32" s="385">
        <v>50</v>
      </c>
      <c r="V32" s="385">
        <v>8</v>
      </c>
      <c r="W32" s="805"/>
      <c r="X32" s="1374" t="s">
        <v>86</v>
      </c>
      <c r="Y32" s="38" t="s">
        <v>942</v>
      </c>
      <c r="Z32" s="38"/>
      <c r="AA32" s="133"/>
      <c r="AB32" s="1193"/>
      <c r="AC32" s="134"/>
      <c r="AD32" s="1194"/>
      <c r="AE32" s="925" t="s">
        <v>134</v>
      </c>
      <c r="AF32" s="1528" t="s">
        <v>891</v>
      </c>
      <c r="AG32" s="962"/>
    </row>
    <row r="33" spans="1:38" s="64" customFormat="1" ht="42" customHeight="1">
      <c r="A33" s="1669"/>
      <c r="B33" s="1672"/>
      <c r="C33"/>
      <c r="D33"/>
      <c r="E33"/>
      <c r="F33"/>
      <c r="G33"/>
      <c r="H33"/>
      <c r="I33" s="1467"/>
      <c r="J33" s="995" t="s">
        <v>41</v>
      </c>
      <c r="K33" s="986" t="s">
        <v>944</v>
      </c>
      <c r="L33" s="709" t="s">
        <v>945</v>
      </c>
      <c r="M33" s="710" t="s">
        <v>946</v>
      </c>
      <c r="N33" s="990"/>
      <c r="O33" s="988" t="s">
        <v>40</v>
      </c>
      <c r="P33" s="643"/>
      <c r="Q33" s="385" t="s">
        <v>235</v>
      </c>
      <c r="R33" s="643" t="s">
        <v>40</v>
      </c>
      <c r="S33" s="435" t="s">
        <v>870</v>
      </c>
      <c r="T33" s="385">
        <v>8</v>
      </c>
      <c r="U33" s="385">
        <v>70</v>
      </c>
      <c r="V33" s="385">
        <v>8</v>
      </c>
      <c r="W33" s="805"/>
      <c r="X33" s="927" t="s">
        <v>65</v>
      </c>
      <c r="Y33" s="38" t="s">
        <v>883</v>
      </c>
      <c r="Z33" s="38"/>
      <c r="AA33" s="133"/>
      <c r="AB33" s="1193"/>
      <c r="AC33" s="134"/>
      <c r="AD33" s="1194" t="s">
        <v>40</v>
      </c>
      <c r="AE33" s="1206" t="s">
        <v>134</v>
      </c>
      <c r="AF33" s="1509" t="s">
        <v>920</v>
      </c>
      <c r="AG33" s="962"/>
    </row>
    <row r="34" spans="1:38" s="64" customFormat="1" ht="42" customHeight="1">
      <c r="A34" s="1669"/>
      <c r="B34" s="1672"/>
      <c r="C34"/>
      <c r="D34"/>
      <c r="E34"/>
      <c r="F34"/>
      <c r="G34"/>
      <c r="H34"/>
      <c r="I34" s="1467"/>
      <c r="J34" s="995" t="s">
        <v>41</v>
      </c>
      <c r="K34" s="986" t="s">
        <v>947</v>
      </c>
      <c r="L34" s="709" t="s">
        <v>948</v>
      </c>
      <c r="M34" s="710" t="s">
        <v>949</v>
      </c>
      <c r="N34" s="990"/>
      <c r="O34" s="988" t="s">
        <v>40</v>
      </c>
      <c r="P34" s="988"/>
      <c r="Q34" s="385" t="s">
        <v>882</v>
      </c>
      <c r="R34" s="643" t="s">
        <v>40</v>
      </c>
      <c r="S34" s="432" t="s">
        <v>950</v>
      </c>
      <c r="T34" s="385">
        <v>8</v>
      </c>
      <c r="U34" s="385">
        <v>240</v>
      </c>
      <c r="V34" s="385">
        <v>4</v>
      </c>
      <c r="W34" s="805"/>
      <c r="X34" s="1402" t="s">
        <v>65</v>
      </c>
      <c r="Y34" s="38" t="s">
        <v>883</v>
      </c>
      <c r="Z34" s="38"/>
      <c r="AA34" s="133"/>
      <c r="AB34" s="1193"/>
      <c r="AC34" s="134"/>
      <c r="AD34" s="1194" t="s">
        <v>40</v>
      </c>
      <c r="AE34" s="1206" t="s">
        <v>134</v>
      </c>
      <c r="AF34" s="1199" t="s">
        <v>884</v>
      </c>
      <c r="AG34" s="962"/>
    </row>
    <row r="35" spans="1:38" s="64" customFormat="1" ht="42" customHeight="1">
      <c r="A35" s="1669"/>
      <c r="B35" s="1672"/>
      <c r="C35"/>
      <c r="D35"/>
      <c r="E35"/>
      <c r="F35"/>
      <c r="G35"/>
      <c r="H35"/>
      <c r="I35" s="1467"/>
      <c r="J35" s="995" t="s">
        <v>41</v>
      </c>
      <c r="K35" s="986" t="s">
        <v>951</v>
      </c>
      <c r="L35" s="709" t="s">
        <v>952</v>
      </c>
      <c r="M35" s="710" t="s">
        <v>953</v>
      </c>
      <c r="N35" s="990"/>
      <c r="O35" s="988" t="s">
        <v>40</v>
      </c>
      <c r="P35" s="988"/>
      <c r="Q35" s="385"/>
      <c r="R35" s="1429" t="s">
        <v>40</v>
      </c>
      <c r="S35" s="125" t="s">
        <v>954</v>
      </c>
      <c r="T35" s="425">
        <v>8</v>
      </c>
      <c r="U35" s="385">
        <v>150</v>
      </c>
      <c r="V35" s="385">
        <v>2</v>
      </c>
      <c r="W35" s="805"/>
      <c r="X35" s="1402" t="s">
        <v>65</v>
      </c>
      <c r="Y35" s="38" t="s">
        <v>200</v>
      </c>
      <c r="Z35" s="38"/>
      <c r="AA35" s="133"/>
      <c r="AB35" s="1193"/>
      <c r="AC35" s="134"/>
      <c r="AD35" s="1194" t="s">
        <v>40</v>
      </c>
      <c r="AE35" s="1206" t="s">
        <v>134</v>
      </c>
      <c r="AF35" s="1199" t="s">
        <v>920</v>
      </c>
      <c r="AG35" s="962"/>
    </row>
    <row r="36" spans="1:38" s="64" customFormat="1" ht="42" customHeight="1">
      <c r="A36" s="1669"/>
      <c r="B36" s="1672"/>
      <c r="C36"/>
      <c r="D36"/>
      <c r="E36"/>
      <c r="F36"/>
      <c r="G36"/>
      <c r="H36"/>
      <c r="I36" s="1467"/>
      <c r="J36" s="995" t="s">
        <v>41</v>
      </c>
      <c r="K36" s="986" t="s">
        <v>955</v>
      </c>
      <c r="L36" s="709" t="s">
        <v>956</v>
      </c>
      <c r="M36" s="710" t="s">
        <v>957</v>
      </c>
      <c r="N36" s="990"/>
      <c r="O36" s="988" t="s">
        <v>40</v>
      </c>
      <c r="P36" s="988"/>
      <c r="Q36" s="385" t="s">
        <v>876</v>
      </c>
      <c r="R36" s="1429" t="s">
        <v>40</v>
      </c>
      <c r="S36" s="125" t="s">
        <v>954</v>
      </c>
      <c r="T36" s="425">
        <v>16</v>
      </c>
      <c r="U36" s="385">
        <v>100</v>
      </c>
      <c r="V36" s="385">
        <v>4</v>
      </c>
      <c r="W36" s="805"/>
      <c r="X36" s="1402" t="s">
        <v>65</v>
      </c>
      <c r="Y36" s="38" t="s">
        <v>200</v>
      </c>
      <c r="Z36" s="38"/>
      <c r="AA36" s="133"/>
      <c r="AB36" s="1193"/>
      <c r="AC36" s="134"/>
      <c r="AD36" s="1194" t="s">
        <v>40</v>
      </c>
      <c r="AE36" s="1206" t="s">
        <v>134</v>
      </c>
      <c r="AF36" s="1199" t="s">
        <v>920</v>
      </c>
      <c r="AG36" s="962"/>
    </row>
    <row r="37" spans="1:38" s="64" customFormat="1" ht="42" customHeight="1">
      <c r="A37" s="1669"/>
      <c r="B37" s="1672"/>
      <c r="C37"/>
      <c r="D37"/>
      <c r="E37"/>
      <c r="F37"/>
      <c r="G37"/>
      <c r="H37"/>
      <c r="I37" s="1467"/>
      <c r="J37" s="995" t="s">
        <v>41</v>
      </c>
      <c r="K37" s="986" t="s">
        <v>958</v>
      </c>
      <c r="L37" s="709" t="s">
        <v>959</v>
      </c>
      <c r="M37" s="710" t="s">
        <v>960</v>
      </c>
      <c r="N37" s="990"/>
      <c r="O37" s="988" t="s">
        <v>48</v>
      </c>
      <c r="P37" s="988" t="s">
        <v>48</v>
      </c>
      <c r="Q37" s="385"/>
      <c r="R37" s="643" t="s">
        <v>40</v>
      </c>
      <c r="S37" s="432" t="s">
        <v>961</v>
      </c>
      <c r="T37" s="385">
        <v>19</v>
      </c>
      <c r="U37" s="385">
        <v>720</v>
      </c>
      <c r="V37" s="385">
        <v>4</v>
      </c>
      <c r="W37" s="805"/>
      <c r="X37" s="484" t="s">
        <v>50</v>
      </c>
      <c r="Y37" s="38" t="s">
        <v>51</v>
      </c>
      <c r="Z37" s="38"/>
      <c r="AA37" s="133"/>
      <c r="AB37" s="1193"/>
      <c r="AC37" s="134"/>
      <c r="AD37" s="1194" t="s">
        <v>40</v>
      </c>
      <c r="AE37" s="1206" t="s">
        <v>134</v>
      </c>
      <c r="AF37" s="1210" t="s">
        <v>962</v>
      </c>
      <c r="AG37" s="962"/>
    </row>
    <row r="38" spans="1:38" s="397" customFormat="1" ht="102" customHeight="1">
      <c r="A38" s="1669"/>
      <c r="B38" s="1672"/>
      <c r="C38" s="981" t="s">
        <v>963</v>
      </c>
      <c r="D38" s="928"/>
      <c r="E38" s="928"/>
      <c r="F38" s="928"/>
      <c r="G38" s="928"/>
      <c r="H38" s="993"/>
      <c r="I38" s="1468"/>
      <c r="J38" s="987" t="s">
        <v>41</v>
      </c>
      <c r="K38" s="929" t="s">
        <v>964</v>
      </c>
      <c r="L38" s="930" t="s">
        <v>965</v>
      </c>
      <c r="M38" s="931" t="s">
        <v>966</v>
      </c>
      <c r="N38" s="991"/>
      <c r="O38" s="989" t="s">
        <v>46</v>
      </c>
      <c r="P38" s="933" t="s">
        <v>40</v>
      </c>
      <c r="Q38" s="932" t="s">
        <v>850</v>
      </c>
      <c r="R38" s="933" t="s">
        <v>40</v>
      </c>
      <c r="S38" s="932" t="s">
        <v>545</v>
      </c>
      <c r="T38" s="932">
        <v>4</v>
      </c>
      <c r="U38" s="932">
        <v>50</v>
      </c>
      <c r="V38" s="932">
        <v>2</v>
      </c>
      <c r="W38" s="934"/>
      <c r="X38" s="935" t="s">
        <v>50</v>
      </c>
      <c r="Y38" s="922" t="s">
        <v>51</v>
      </c>
      <c r="Z38" s="924" t="s">
        <v>52</v>
      </c>
      <c r="AA38" s="924" t="s">
        <v>52</v>
      </c>
      <c r="AB38" s="1195"/>
      <c r="AC38" s="1196"/>
      <c r="AD38" s="936" t="s">
        <v>40</v>
      </c>
      <c r="AE38" s="925" t="s">
        <v>134</v>
      </c>
      <c r="AF38" s="926" t="s">
        <v>920</v>
      </c>
      <c r="AG38" s="937" t="s">
        <v>46</v>
      </c>
    </row>
    <row r="39" spans="1:38" s="57" customFormat="1" ht="129.75" customHeight="1">
      <c r="A39" s="1670"/>
      <c r="B39" s="1674" t="s">
        <v>967</v>
      </c>
      <c r="C39" s="182" t="s">
        <v>856</v>
      </c>
      <c r="D39" s="268" t="s">
        <v>968</v>
      </c>
      <c r="E39" s="60" t="s">
        <v>969</v>
      </c>
      <c r="F39" s="1162">
        <v>1</v>
      </c>
      <c r="G39" s="383" t="s">
        <v>970</v>
      </c>
      <c r="H39" s="421" t="s">
        <v>860</v>
      </c>
      <c r="I39" s="1538"/>
      <c r="J39" s="175" t="s">
        <v>479</v>
      </c>
      <c r="K39" s="996"/>
      <c r="L39" s="199"/>
      <c r="M39" s="100"/>
      <c r="O39" s="997"/>
      <c r="P39" s="998"/>
      <c r="Q39" s="999"/>
      <c r="R39" s="998"/>
      <c r="S39" s="1000"/>
      <c r="T39" s="284"/>
      <c r="U39" s="284"/>
      <c r="V39" s="284"/>
      <c r="W39" s="808"/>
      <c r="X39" s="1001"/>
      <c r="Y39" s="174"/>
      <c r="Z39" s="1002"/>
      <c r="AA39" s="1002"/>
      <c r="AB39" s="1002"/>
      <c r="AC39" s="1002"/>
      <c r="AD39" s="1002"/>
      <c r="AE39" s="1002"/>
      <c r="AF39" s="254"/>
      <c r="AG39" s="1003"/>
    </row>
    <row r="40" spans="1:38" s="57" customFormat="1" ht="51.75" customHeight="1">
      <c r="A40" s="1670"/>
      <c r="B40" s="1674"/>
      <c r="C40" s="152" t="s">
        <v>856</v>
      </c>
      <c r="D40" s="269" t="s">
        <v>971</v>
      </c>
      <c r="E40" s="65" t="s">
        <v>972</v>
      </c>
      <c r="F40" s="1162">
        <v>1</v>
      </c>
      <c r="G40" s="419" t="s">
        <v>973</v>
      </c>
      <c r="H40" s="420" t="s">
        <v>860</v>
      </c>
      <c r="I40" s="1538"/>
      <c r="J40" s="175" t="s">
        <v>974</v>
      </c>
      <c r="K40" s="106"/>
      <c r="L40" s="99"/>
      <c r="M40" s="99"/>
      <c r="N40" s="234"/>
      <c r="O40" s="613"/>
      <c r="P40" s="666"/>
      <c r="Q40" s="234"/>
      <c r="R40" s="666"/>
      <c r="S40" s="234"/>
      <c r="T40" s="234"/>
      <c r="U40" s="234"/>
      <c r="V40" s="234"/>
      <c r="W40" s="808"/>
      <c r="X40" s="227"/>
      <c r="Y40" s="38"/>
      <c r="Z40" s="45"/>
      <c r="AA40" s="45"/>
      <c r="AB40" s="149"/>
      <c r="AC40" s="149"/>
      <c r="AD40" s="156"/>
      <c r="AE40" s="156"/>
      <c r="AF40" s="254"/>
      <c r="AG40" s="939"/>
    </row>
    <row r="41" spans="1:38" s="57" customFormat="1" ht="51.75" customHeight="1">
      <c r="A41" s="1670"/>
      <c r="B41" s="1675"/>
      <c r="C41" s="152" t="s">
        <v>856</v>
      </c>
      <c r="D41" s="269" t="s">
        <v>975</v>
      </c>
      <c r="E41" s="65" t="s">
        <v>976</v>
      </c>
      <c r="F41" s="1162">
        <v>1</v>
      </c>
      <c r="G41" s="419" t="s">
        <v>977</v>
      </c>
      <c r="H41" s="420" t="s">
        <v>860</v>
      </c>
      <c r="I41" s="1538"/>
      <c r="J41" s="175" t="s">
        <v>479</v>
      </c>
      <c r="K41" s="106"/>
      <c r="L41" s="99"/>
      <c r="M41" s="99"/>
      <c r="N41" s="234"/>
      <c r="O41" s="613"/>
      <c r="P41" s="647"/>
      <c r="Q41" s="234"/>
      <c r="R41" s="666"/>
      <c r="S41" s="234"/>
      <c r="T41" s="234"/>
      <c r="U41" s="234"/>
      <c r="V41" s="234"/>
      <c r="W41" s="808"/>
      <c r="X41" s="227"/>
      <c r="Y41" s="38"/>
      <c r="Z41" s="251"/>
      <c r="AA41" s="251"/>
      <c r="AB41" s="252"/>
      <c r="AC41" s="253"/>
      <c r="AD41" s="254"/>
      <c r="AE41" s="156"/>
      <c r="AF41" s="254"/>
      <c r="AG41" s="940"/>
    </row>
    <row r="42" spans="1:38" s="57" customFormat="1" ht="99" customHeight="1">
      <c r="A42" s="1670"/>
      <c r="B42" s="1004" t="s">
        <v>978</v>
      </c>
      <c r="C42" s="982" t="s">
        <v>856</v>
      </c>
      <c r="D42" s="152"/>
      <c r="E42" s="380" t="s">
        <v>862</v>
      </c>
      <c r="F42" s="1161">
        <v>1</v>
      </c>
      <c r="G42" s="385" t="s">
        <v>979</v>
      </c>
      <c r="H42" s="382" t="s">
        <v>860</v>
      </c>
      <c r="I42" s="262" t="s">
        <v>46</v>
      </c>
      <c r="J42" s="175" t="s">
        <v>479</v>
      </c>
      <c r="K42" s="383"/>
      <c r="L42" s="384"/>
      <c r="M42" s="385" t="s">
        <v>862</v>
      </c>
      <c r="N42" s="385"/>
      <c r="O42" s="643" t="s">
        <v>40</v>
      </c>
      <c r="P42" s="643" t="s">
        <v>46</v>
      </c>
      <c r="Q42" s="385"/>
      <c r="R42" s="643"/>
      <c r="S42" s="385"/>
      <c r="T42" s="385">
        <v>384</v>
      </c>
      <c r="U42" s="386">
        <v>9728</v>
      </c>
      <c r="V42" s="385">
        <v>16</v>
      </c>
      <c r="W42" s="805"/>
      <c r="X42" s="158" t="s">
        <v>86</v>
      </c>
      <c r="Y42" s="38" t="s">
        <v>51</v>
      </c>
      <c r="Z42" s="38" t="s">
        <v>206</v>
      </c>
      <c r="AA42" s="38" t="s">
        <v>207</v>
      </c>
      <c r="AB42" s="143"/>
      <c r="AC42" s="134"/>
      <c r="AD42" s="387" t="s">
        <v>48</v>
      </c>
      <c r="AE42" s="387"/>
      <c r="AF42" s="388" t="s">
        <v>980</v>
      </c>
      <c r="AG42" s="388" t="s">
        <v>980</v>
      </c>
      <c r="AH42" s="93"/>
      <c r="AI42" s="93"/>
      <c r="AJ42" s="93"/>
      <c r="AK42" s="93"/>
      <c r="AL42" s="93"/>
    </row>
    <row r="43" spans="1:38" s="93" customFormat="1" ht="154.35" customHeight="1">
      <c r="A43" s="1671"/>
      <c r="B43" s="1004" t="s">
        <v>981</v>
      </c>
      <c r="C43" s="982" t="s">
        <v>856</v>
      </c>
      <c r="D43" s="152" t="s">
        <v>982</v>
      </c>
      <c r="E43" s="380" t="s">
        <v>983</v>
      </c>
      <c r="F43" s="1161">
        <v>1</v>
      </c>
      <c r="G43" s="385" t="s">
        <v>979</v>
      </c>
      <c r="H43" s="382" t="s">
        <v>860</v>
      </c>
      <c r="I43" s="262" t="s">
        <v>46</v>
      </c>
      <c r="J43" s="175" t="s">
        <v>479</v>
      </c>
      <c r="K43" s="383" t="s">
        <v>984</v>
      </c>
      <c r="L43" s="384" t="s">
        <v>985</v>
      </c>
      <c r="M43" s="385" t="s">
        <v>983</v>
      </c>
      <c r="N43" s="385"/>
      <c r="O43" s="643" t="s">
        <v>40</v>
      </c>
      <c r="P43" s="643" t="s">
        <v>46</v>
      </c>
      <c r="Q43" s="385" t="s">
        <v>356</v>
      </c>
      <c r="R43" s="643" t="s">
        <v>40</v>
      </c>
      <c r="S43" s="385" t="s">
        <v>986</v>
      </c>
      <c r="T43" s="385">
        <v>384</v>
      </c>
      <c r="U43" s="386">
        <v>9728</v>
      </c>
      <c r="V43" s="385">
        <v>16</v>
      </c>
      <c r="W43" s="805"/>
      <c r="X43" s="158" t="s">
        <v>86</v>
      </c>
      <c r="Y43" s="38" t="s">
        <v>51</v>
      </c>
      <c r="Z43" s="38" t="s">
        <v>206</v>
      </c>
      <c r="AA43" s="38" t="s">
        <v>207</v>
      </c>
      <c r="AB43" s="143"/>
      <c r="AC43" s="134"/>
      <c r="AD43" s="387" t="s">
        <v>48</v>
      </c>
      <c r="AE43" s="387"/>
      <c r="AF43" s="388" t="s">
        <v>980</v>
      </c>
      <c r="AG43" s="388" t="s">
        <v>980</v>
      </c>
    </row>
    <row r="44" spans="1:38" s="163" customFormat="1">
      <c r="A44" s="162"/>
      <c r="B44" s="162"/>
      <c r="F44" s="164"/>
      <c r="G44" s="165"/>
      <c r="H44" s="165"/>
      <c r="I44" s="164"/>
      <c r="J44" s="164"/>
      <c r="K44" s="166"/>
      <c r="L44" s="166"/>
      <c r="M44" s="166"/>
      <c r="N44" s="166"/>
      <c r="O44" s="650"/>
      <c r="P44" s="650"/>
      <c r="Q44" s="166"/>
      <c r="R44" s="650"/>
      <c r="S44" s="166"/>
      <c r="T44" s="166"/>
      <c r="U44" s="167"/>
      <c r="V44" s="166"/>
      <c r="W44" s="166"/>
      <c r="X44" s="164"/>
      <c r="Y44" s="166"/>
      <c r="Z44" s="942"/>
      <c r="AA44" s="942"/>
      <c r="AB44" s="169"/>
      <c r="AC44" s="170"/>
      <c r="AD44" s="171"/>
      <c r="AE44" s="171"/>
      <c r="AF44" s="171"/>
      <c r="AG44" s="171"/>
    </row>
    <row r="45" spans="1:38" s="163" customFormat="1" ht="24" customHeight="1">
      <c r="A45" s="1676" t="s">
        <v>987</v>
      </c>
      <c r="B45" s="979" t="s">
        <v>988</v>
      </c>
      <c r="C45" s="1684" t="s">
        <v>68</v>
      </c>
      <c r="D45" s="953" t="s">
        <v>989</v>
      </c>
      <c r="E45" s="901" t="s">
        <v>990</v>
      </c>
      <c r="F45" s="1681">
        <v>4</v>
      </c>
      <c r="G45" s="938" t="s">
        <v>991</v>
      </c>
      <c r="H45" s="904" t="s">
        <v>40</v>
      </c>
      <c r="I45" s="1686">
        <f>COUNTIF(J45:J156,"=VIRTUAL")</f>
        <v>112</v>
      </c>
      <c r="J45" s="903" t="s">
        <v>41</v>
      </c>
      <c r="K45" s="954" t="s">
        <v>992</v>
      </c>
      <c r="L45" s="954" t="s">
        <v>993</v>
      </c>
      <c r="M45" s="908" t="s">
        <v>994</v>
      </c>
      <c r="N45" s="955"/>
      <c r="O45" s="956" t="s">
        <v>48</v>
      </c>
      <c r="P45" s="956" t="s">
        <v>48</v>
      </c>
      <c r="Q45" s="59" t="s">
        <v>995</v>
      </c>
      <c r="R45" s="957" t="s">
        <v>40</v>
      </c>
      <c r="S45" s="909" t="s">
        <v>996</v>
      </c>
      <c r="T45" s="909">
        <v>16</v>
      </c>
      <c r="U45" s="909">
        <v>600</v>
      </c>
      <c r="V45" s="909">
        <v>8</v>
      </c>
      <c r="W45" s="955"/>
      <c r="X45" s="958" t="s">
        <v>50</v>
      </c>
      <c r="Y45" s="903" t="s">
        <v>51</v>
      </c>
      <c r="Z45" s="913" t="s">
        <v>52</v>
      </c>
      <c r="AA45" s="913" t="s">
        <v>52</v>
      </c>
      <c r="AB45" s="959"/>
      <c r="AC45" s="917"/>
      <c r="AD45" s="960" t="s">
        <v>40</v>
      </c>
      <c r="AE45" s="960" t="s">
        <v>134</v>
      </c>
      <c r="AF45" s="917" t="s">
        <v>997</v>
      </c>
      <c r="AG45" s="961" t="s">
        <v>46</v>
      </c>
      <c r="AH45"/>
      <c r="AI45"/>
      <c r="AJ45"/>
      <c r="AK45"/>
      <c r="AL45"/>
    </row>
    <row r="46" spans="1:38" ht="24.75" customHeight="1">
      <c r="A46" s="1677"/>
      <c r="B46" s="980" t="s">
        <v>998</v>
      </c>
      <c r="C46" s="1685"/>
      <c r="D46" s="266" t="s">
        <v>999</v>
      </c>
      <c r="E46" s="119" t="s">
        <v>1000</v>
      </c>
      <c r="F46" s="1682"/>
      <c r="G46" s="99" t="s">
        <v>991</v>
      </c>
      <c r="H46" s="51" t="s">
        <v>40</v>
      </c>
      <c r="I46" s="1687"/>
      <c r="J46" s="38" t="s">
        <v>41</v>
      </c>
      <c r="K46" s="99" t="s">
        <v>1001</v>
      </c>
      <c r="L46" s="99" t="s">
        <v>1002</v>
      </c>
      <c r="M46" s="59" t="s">
        <v>1003</v>
      </c>
      <c r="N46" s="136"/>
      <c r="O46" s="644" t="s">
        <v>48</v>
      </c>
      <c r="P46" s="654" t="s">
        <v>48</v>
      </c>
      <c r="Q46" s="59" t="s">
        <v>995</v>
      </c>
      <c r="R46" s="644" t="s">
        <v>40</v>
      </c>
      <c r="S46" s="92" t="s">
        <v>1004</v>
      </c>
      <c r="T46" s="92">
        <v>16</v>
      </c>
      <c r="U46" s="92">
        <v>1024</v>
      </c>
      <c r="V46" s="92">
        <v>8</v>
      </c>
      <c r="W46" s="136"/>
      <c r="X46" s="123" t="s">
        <v>50</v>
      </c>
      <c r="Y46" s="38" t="s">
        <v>51</v>
      </c>
      <c r="Z46" s="103" t="s">
        <v>52</v>
      </c>
      <c r="AA46" s="103" t="s">
        <v>52</v>
      </c>
      <c r="AB46" s="146"/>
      <c r="AD46" s="736" t="s">
        <v>40</v>
      </c>
      <c r="AE46" s="29" t="s">
        <v>134</v>
      </c>
      <c r="AF46" t="s">
        <v>1005</v>
      </c>
      <c r="AG46" s="962" t="s">
        <v>46</v>
      </c>
    </row>
    <row r="47" spans="1:38" ht="24.6" customHeight="1">
      <c r="A47" s="1677"/>
      <c r="B47" s="980" t="s">
        <v>1006</v>
      </c>
      <c r="C47" s="1685"/>
      <c r="D47" s="266" t="s">
        <v>1007</v>
      </c>
      <c r="E47" s="119" t="s">
        <v>1008</v>
      </c>
      <c r="F47" s="1682"/>
      <c r="G47" s="99" t="s">
        <v>991</v>
      </c>
      <c r="H47" s="51" t="s">
        <v>40</v>
      </c>
      <c r="I47" s="1687"/>
      <c r="J47" s="103" t="s">
        <v>41</v>
      </c>
      <c r="K47" s="51" t="s">
        <v>1009</v>
      </c>
      <c r="L47" s="99" t="s">
        <v>1010</v>
      </c>
      <c r="M47" s="129" t="s">
        <v>1011</v>
      </c>
      <c r="N47" s="670"/>
      <c r="O47" s="644" t="s">
        <v>48</v>
      </c>
      <c r="P47" s="644" t="s">
        <v>48</v>
      </c>
      <c r="Q47" s="1531" t="s">
        <v>850</v>
      </c>
      <c r="R47" s="644" t="s">
        <v>40</v>
      </c>
      <c r="S47" s="51" t="s">
        <v>64</v>
      </c>
      <c r="T47" s="51">
        <v>92</v>
      </c>
      <c r="U47" s="51">
        <v>210</v>
      </c>
      <c r="V47" s="51">
        <v>8</v>
      </c>
      <c r="W47" s="670"/>
      <c r="X47" s="141" t="s">
        <v>50</v>
      </c>
      <c r="Y47" s="38" t="s">
        <v>51</v>
      </c>
      <c r="Z47" s="103" t="s">
        <v>52</v>
      </c>
      <c r="AA47" s="103" t="s">
        <v>52</v>
      </c>
      <c r="AB47" s="144"/>
      <c r="AC47" s="88"/>
      <c r="AD47" s="29" t="s">
        <v>40</v>
      </c>
      <c r="AE47" s="53"/>
      <c r="AF47" s="963" t="s">
        <v>1012</v>
      </c>
      <c r="AG47" s="963" t="s">
        <v>1012</v>
      </c>
    </row>
    <row r="48" spans="1:38" ht="24.6" customHeight="1">
      <c r="A48" s="1677"/>
      <c r="B48" s="980" t="s">
        <v>1013</v>
      </c>
      <c r="C48" s="1667"/>
      <c r="D48" s="266" t="s">
        <v>1014</v>
      </c>
      <c r="E48" s="119" t="s">
        <v>1015</v>
      </c>
      <c r="F48" s="1683"/>
      <c r="G48" s="99" t="s">
        <v>991</v>
      </c>
      <c r="H48" s="51" t="s">
        <v>40</v>
      </c>
      <c r="I48" s="1687"/>
      <c r="J48" s="103" t="s">
        <v>41</v>
      </c>
      <c r="K48" s="51" t="s">
        <v>1016</v>
      </c>
      <c r="L48" s="99" t="s">
        <v>1017</v>
      </c>
      <c r="M48" s="129">
        <v>2</v>
      </c>
      <c r="N48" s="670"/>
      <c r="O48" s="644" t="s">
        <v>48</v>
      </c>
      <c r="P48" s="644" t="s">
        <v>48</v>
      </c>
      <c r="Q48" s="1531" t="s">
        <v>850</v>
      </c>
      <c r="R48" s="644" t="s">
        <v>40</v>
      </c>
      <c r="S48" s="51" t="s">
        <v>64</v>
      </c>
      <c r="T48" s="51">
        <v>92</v>
      </c>
      <c r="U48" s="51">
        <v>210</v>
      </c>
      <c r="V48" s="51">
        <v>8</v>
      </c>
      <c r="W48" s="670"/>
      <c r="X48" s="141" t="s">
        <v>50</v>
      </c>
      <c r="Y48" s="38" t="s">
        <v>51</v>
      </c>
      <c r="Z48" s="103" t="s">
        <v>52</v>
      </c>
      <c r="AA48" s="103" t="s">
        <v>52</v>
      </c>
      <c r="AB48" s="144"/>
      <c r="AC48" s="88"/>
      <c r="AD48" s="29" t="s">
        <v>40</v>
      </c>
      <c r="AE48" s="53"/>
      <c r="AF48" s="963" t="s">
        <v>1012</v>
      </c>
      <c r="AG48" s="963" t="s">
        <v>1012</v>
      </c>
    </row>
    <row r="49" spans="1:33" ht="24.6" customHeight="1">
      <c r="A49" s="1677"/>
      <c r="I49" s="1687"/>
      <c r="J49" s="103" t="s">
        <v>41</v>
      </c>
      <c r="K49" s="51" t="s">
        <v>1018</v>
      </c>
      <c r="L49" s="99" t="s">
        <v>1019</v>
      </c>
      <c r="M49" s="129" t="s">
        <v>1020</v>
      </c>
      <c r="N49" s="670"/>
      <c r="O49" s="644" t="s">
        <v>48</v>
      </c>
      <c r="P49" s="644" t="s">
        <v>48</v>
      </c>
      <c r="Q49" s="1531" t="s">
        <v>850</v>
      </c>
      <c r="R49" s="644" t="s">
        <v>40</v>
      </c>
      <c r="S49" s="51" t="s">
        <v>64</v>
      </c>
      <c r="T49" s="51">
        <v>92</v>
      </c>
      <c r="U49" s="51">
        <v>210</v>
      </c>
      <c r="V49" s="51">
        <v>8</v>
      </c>
      <c r="W49" s="670"/>
      <c r="X49" s="141" t="s">
        <v>50</v>
      </c>
      <c r="Y49" s="38" t="s">
        <v>51</v>
      </c>
      <c r="Z49" s="103" t="s">
        <v>52</v>
      </c>
      <c r="AA49" s="103" t="s">
        <v>52</v>
      </c>
      <c r="AB49" s="144"/>
      <c r="AC49" s="88"/>
      <c r="AD49" s="29" t="s">
        <v>40</v>
      </c>
      <c r="AE49" s="53"/>
      <c r="AF49" s="963" t="s">
        <v>1012</v>
      </c>
      <c r="AG49" s="963" t="s">
        <v>1012</v>
      </c>
    </row>
    <row r="50" spans="1:33" ht="24.6" customHeight="1">
      <c r="A50" s="1677"/>
      <c r="B50" s="110"/>
      <c r="C50" s="108"/>
      <c r="D50" s="108"/>
      <c r="F50" s="109"/>
      <c r="G50" s="102"/>
      <c r="H50" s="58"/>
      <c r="I50" s="1687"/>
      <c r="J50" s="103" t="s">
        <v>41</v>
      </c>
      <c r="K50" s="51" t="s">
        <v>1021</v>
      </c>
      <c r="L50" s="99" t="s">
        <v>1022</v>
      </c>
      <c r="M50" s="129" t="s">
        <v>1023</v>
      </c>
      <c r="N50" s="670"/>
      <c r="O50" s="644" t="s">
        <v>48</v>
      </c>
      <c r="P50" s="644" t="s">
        <v>48</v>
      </c>
      <c r="Q50" s="1532" t="s">
        <v>850</v>
      </c>
      <c r="R50" s="644" t="s">
        <v>40</v>
      </c>
      <c r="S50" s="51" t="s">
        <v>64</v>
      </c>
      <c r="T50" s="51">
        <v>92</v>
      </c>
      <c r="U50" s="51">
        <v>210</v>
      </c>
      <c r="V50" s="51">
        <v>8</v>
      </c>
      <c r="W50" s="670"/>
      <c r="X50" s="141" t="s">
        <v>50</v>
      </c>
      <c r="Y50" s="38" t="s">
        <v>51</v>
      </c>
      <c r="Z50" s="103" t="s">
        <v>52</v>
      </c>
      <c r="AA50" s="103" t="s">
        <v>52</v>
      </c>
      <c r="AB50" s="144"/>
      <c r="AC50" s="88"/>
      <c r="AD50" s="111" t="s">
        <v>40</v>
      </c>
      <c r="AE50" s="197"/>
      <c r="AF50" s="963" t="s">
        <v>1012</v>
      </c>
      <c r="AG50" s="920" t="s">
        <v>1012</v>
      </c>
    </row>
    <row r="51" spans="1:33" s="64" customFormat="1" ht="48.75" customHeight="1">
      <c r="A51" s="1677"/>
      <c r="B51"/>
      <c r="C51" s="108"/>
      <c r="D51" s="108"/>
      <c r="E51"/>
      <c r="F51" s="109"/>
      <c r="G51"/>
      <c r="H51"/>
      <c r="I51" s="1687"/>
      <c r="J51" s="38" t="s">
        <v>41</v>
      </c>
      <c r="K51" s="99" t="s">
        <v>1024</v>
      </c>
      <c r="L51" s="200" t="s">
        <v>1025</v>
      </c>
      <c r="M51" s="99" t="s">
        <v>1026</v>
      </c>
      <c r="N51" s="29"/>
      <c r="O51" s="734" t="s">
        <v>48</v>
      </c>
      <c r="P51" s="887" t="s">
        <v>48</v>
      </c>
      <c r="Q51" s="1532" t="s">
        <v>850</v>
      </c>
      <c r="R51" s="503" t="s">
        <v>40</v>
      </c>
      <c r="S51" s="99" t="s">
        <v>1027</v>
      </c>
      <c r="T51" s="107">
        <v>32</v>
      </c>
      <c r="U51" s="105">
        <f>120+512</f>
        <v>632</v>
      </c>
      <c r="V51" s="92">
        <v>8</v>
      </c>
      <c r="W51" s="136" t="s">
        <v>50</v>
      </c>
      <c r="X51" s="121" t="s">
        <v>86</v>
      </c>
      <c r="Y51" s="38" t="s">
        <v>51</v>
      </c>
      <c r="Z51" s="103" t="s">
        <v>52</v>
      </c>
      <c r="AA51" s="103" t="s">
        <v>52</v>
      </c>
      <c r="AB51" s="142"/>
      <c r="AC51" s="97"/>
      <c r="AD51" s="29" t="s">
        <v>40</v>
      </c>
      <c r="AE51" s="29"/>
      <c r="AF51" t="s">
        <v>1028</v>
      </c>
      <c r="AG51" s="919" t="s">
        <v>46</v>
      </c>
    </row>
    <row r="52" spans="1:33" s="64" customFormat="1" ht="14.45" customHeight="1">
      <c r="A52" s="1677"/>
      <c r="B52"/>
      <c r="C52"/>
      <c r="D52"/>
      <c r="E52"/>
      <c r="F52"/>
      <c r="G52"/>
      <c r="H52"/>
      <c r="I52" s="1687"/>
      <c r="J52" s="38" t="s">
        <v>41</v>
      </c>
      <c r="K52" s="99" t="s">
        <v>1029</v>
      </c>
      <c r="L52" s="200" t="s">
        <v>1030</v>
      </c>
      <c r="M52" s="99" t="s">
        <v>1031</v>
      </c>
      <c r="N52" s="99"/>
      <c r="O52" s="789" t="s">
        <v>46</v>
      </c>
      <c r="P52" s="867" t="s">
        <v>40</v>
      </c>
      <c r="Q52" s="1223" t="s">
        <v>1032</v>
      </c>
      <c r="R52" s="669" t="s">
        <v>40</v>
      </c>
      <c r="S52" s="112" t="s">
        <v>1033</v>
      </c>
      <c r="T52" s="107">
        <v>4</v>
      </c>
      <c r="U52" s="105">
        <v>100</v>
      </c>
      <c r="V52" s="105">
        <v>2</v>
      </c>
      <c r="W52" s="480" t="s">
        <v>50</v>
      </c>
      <c r="X52" s="124" t="s">
        <v>65</v>
      </c>
      <c r="Y52" s="38" t="s">
        <v>51</v>
      </c>
      <c r="Z52" s="103" t="s">
        <v>52</v>
      </c>
      <c r="AA52" s="103" t="s">
        <v>52</v>
      </c>
      <c r="AB52" s="144"/>
      <c r="AC52" s="29"/>
      <c r="AD52" s="29" t="s">
        <v>40</v>
      </c>
      <c r="AE52" s="29" t="s">
        <v>134</v>
      </c>
      <c r="AF52" t="s">
        <v>1034</v>
      </c>
      <c r="AG52" s="919" t="s">
        <v>46</v>
      </c>
    </row>
    <row r="53" spans="1:33" s="64" customFormat="1" ht="36.6" customHeight="1">
      <c r="A53" s="1677"/>
      <c r="B53"/>
      <c r="C53" s="108"/>
      <c r="D53" s="108"/>
      <c r="E53"/>
      <c r="F53" s="109"/>
      <c r="G53"/>
      <c r="H53"/>
      <c r="I53" s="1687"/>
      <c r="J53" s="38" t="s">
        <v>41</v>
      </c>
      <c r="K53" s="125" t="s">
        <v>1035</v>
      </c>
      <c r="L53" s="200" t="s">
        <v>1036</v>
      </c>
      <c r="M53" s="99" t="s">
        <v>1037</v>
      </c>
      <c r="N53" s="99" t="s">
        <v>1038</v>
      </c>
      <c r="O53" s="706" t="s">
        <v>40</v>
      </c>
      <c r="P53" s="789" t="s">
        <v>46</v>
      </c>
      <c r="Q53" s="130" t="s">
        <v>1039</v>
      </c>
      <c r="R53" s="644" t="s">
        <v>40</v>
      </c>
      <c r="S53" s="100" t="s">
        <v>1040</v>
      </c>
      <c r="T53" s="100">
        <v>6</v>
      </c>
      <c r="U53" s="100">
        <v>200</v>
      </c>
      <c r="V53" s="101">
        <v>6</v>
      </c>
      <c r="W53" s="237" t="s">
        <v>50</v>
      </c>
      <c r="X53" s="605" t="s">
        <v>86</v>
      </c>
      <c r="Y53" s="38" t="s">
        <v>51</v>
      </c>
      <c r="Z53" s="103" t="s">
        <v>52</v>
      </c>
      <c r="AA53" s="103" t="s">
        <v>52</v>
      </c>
      <c r="AB53" s="144"/>
      <c r="AC53" s="29"/>
      <c r="AD53" s="29" t="s">
        <v>40</v>
      </c>
      <c r="AE53" s="29" t="s">
        <v>134</v>
      </c>
      <c r="AF53" t="s">
        <v>1034</v>
      </c>
      <c r="AG53" s="919" t="s">
        <v>46</v>
      </c>
    </row>
    <row r="54" spans="1:33" ht="25.5" customHeight="1">
      <c r="A54" s="1677"/>
      <c r="C54" s="108"/>
      <c r="D54" s="108"/>
      <c r="F54" s="109"/>
      <c r="I54" s="1687"/>
      <c r="J54" s="38" t="s">
        <v>41</v>
      </c>
      <c r="K54" s="99" t="s">
        <v>1041</v>
      </c>
      <c r="L54" s="200" t="s">
        <v>1042</v>
      </c>
      <c r="M54" s="99" t="s">
        <v>1043</v>
      </c>
      <c r="N54" s="99" t="s">
        <v>1044</v>
      </c>
      <c r="O54" s="706" t="s">
        <v>40</v>
      </c>
      <c r="P54" s="789" t="s">
        <v>46</v>
      </c>
      <c r="Q54" s="59" t="s">
        <v>396</v>
      </c>
      <c r="R54" s="644" t="s">
        <v>40</v>
      </c>
      <c r="S54" s="92" t="s">
        <v>1040</v>
      </c>
      <c r="T54" s="92">
        <v>6</v>
      </c>
      <c r="U54" s="92">
        <v>200</v>
      </c>
      <c r="V54" s="92">
        <v>4</v>
      </c>
      <c r="W54" s="136" t="s">
        <v>50</v>
      </c>
      <c r="X54" s="123" t="s">
        <v>50</v>
      </c>
      <c r="Y54" s="38" t="s">
        <v>51</v>
      </c>
      <c r="Z54" s="103" t="s">
        <v>52</v>
      </c>
      <c r="AA54" s="103" t="s">
        <v>52</v>
      </c>
      <c r="AD54" s="29" t="s">
        <v>40</v>
      </c>
      <c r="AE54" s="29" t="s">
        <v>134</v>
      </c>
      <c r="AF54" t="s">
        <v>1034</v>
      </c>
      <c r="AG54" s="919" t="s">
        <v>46</v>
      </c>
    </row>
    <row r="55" spans="1:33" ht="48.6" customHeight="1">
      <c r="A55" s="1677"/>
      <c r="I55" s="1687"/>
      <c r="J55" s="38" t="s">
        <v>41</v>
      </c>
      <c r="K55" s="680" t="s">
        <v>1045</v>
      </c>
      <c r="L55" s="99" t="s">
        <v>1046</v>
      </c>
      <c r="M55" s="101" t="s">
        <v>1047</v>
      </c>
      <c r="N55" s="126"/>
      <c r="O55" s="652" t="s">
        <v>40</v>
      </c>
      <c r="P55" s="789" t="s">
        <v>46</v>
      </c>
      <c r="Q55" s="59" t="s">
        <v>876</v>
      </c>
      <c r="R55" s="644" t="s">
        <v>40</v>
      </c>
      <c r="S55" s="92" t="s">
        <v>1048</v>
      </c>
      <c r="T55" s="92">
        <v>16</v>
      </c>
      <c r="U55" s="92">
        <v>500</v>
      </c>
      <c r="V55" s="92">
        <v>6</v>
      </c>
      <c r="W55" s="136" t="s">
        <v>50</v>
      </c>
      <c r="X55" s="123" t="s">
        <v>50</v>
      </c>
      <c r="Y55" s="38" t="s">
        <v>51</v>
      </c>
      <c r="Z55" s="103" t="s">
        <v>52</v>
      </c>
      <c r="AA55" s="103" t="s">
        <v>52</v>
      </c>
      <c r="AD55" s="29" t="s">
        <v>40</v>
      </c>
      <c r="AE55" s="29" t="s">
        <v>134</v>
      </c>
      <c r="AF55" t="s">
        <v>1034</v>
      </c>
      <c r="AG55" s="964"/>
    </row>
    <row r="56" spans="1:33" s="93" customFormat="1" ht="51.75" customHeight="1">
      <c r="A56" s="1677"/>
      <c r="B56" s="109"/>
      <c r="C56" s="109"/>
      <c r="D56" s="109"/>
      <c r="E56" s="109"/>
      <c r="F56" s="109"/>
      <c r="G56" s="109"/>
      <c r="H56" s="109"/>
      <c r="I56" s="1687"/>
      <c r="J56" s="38" t="s">
        <v>41</v>
      </c>
      <c r="K56" s="125" t="s">
        <v>1049</v>
      </c>
      <c r="L56" s="125" t="s">
        <v>1050</v>
      </c>
      <c r="M56" s="298" t="s">
        <v>1051</v>
      </c>
      <c r="N56" s="125"/>
      <c r="O56" s="652" t="s">
        <v>40</v>
      </c>
      <c r="P56" s="789" t="s">
        <v>46</v>
      </c>
      <c r="Q56" s="298" t="s">
        <v>239</v>
      </c>
      <c r="R56" s="644" t="s">
        <v>40</v>
      </c>
      <c r="S56" s="125" t="s">
        <v>1040</v>
      </c>
      <c r="T56" s="125">
        <v>8</v>
      </c>
      <c r="U56" s="389" t="s">
        <v>1052</v>
      </c>
      <c r="V56" s="117">
        <v>6</v>
      </c>
      <c r="W56" s="136" t="s">
        <v>50</v>
      </c>
      <c r="X56" s="158" t="s">
        <v>50</v>
      </c>
      <c r="Y56" s="38" t="s">
        <v>51</v>
      </c>
      <c r="Z56" s="103" t="s">
        <v>52</v>
      </c>
      <c r="AA56" s="103" t="s">
        <v>52</v>
      </c>
      <c r="AB56" s="144"/>
      <c r="AC56" s="29"/>
      <c r="AD56" s="119" t="s">
        <v>40</v>
      </c>
      <c r="AE56" s="119" t="s">
        <v>134</v>
      </c>
      <c r="AF56" s="119" t="s">
        <v>1034</v>
      </c>
      <c r="AG56" s="921" t="s">
        <v>46</v>
      </c>
    </row>
    <row r="57" spans="1:33" s="93" customFormat="1" ht="27" customHeight="1">
      <c r="A57" s="1677"/>
      <c r="B57" s="109"/>
      <c r="C57" s="109"/>
      <c r="D57" s="109"/>
      <c r="E57" s="109"/>
      <c r="F57" s="109"/>
      <c r="G57" s="109"/>
      <c r="H57" s="109"/>
      <c r="I57" s="1687"/>
      <c r="J57" s="38" t="s">
        <v>41</v>
      </c>
      <c r="K57" s="125" t="s">
        <v>1053</v>
      </c>
      <c r="L57" s="125" t="s">
        <v>1054</v>
      </c>
      <c r="M57" s="298" t="s">
        <v>1055</v>
      </c>
      <c r="N57" s="125"/>
      <c r="O57" s="652" t="s">
        <v>40</v>
      </c>
      <c r="P57" s="652" t="s">
        <v>46</v>
      </c>
      <c r="Q57" s="125" t="s">
        <v>239</v>
      </c>
      <c r="R57" s="652" t="s">
        <v>40</v>
      </c>
      <c r="S57" s="125" t="s">
        <v>1040</v>
      </c>
      <c r="T57" s="125">
        <v>24</v>
      </c>
      <c r="U57" s="389" t="s">
        <v>1056</v>
      </c>
      <c r="V57" s="117">
        <v>6</v>
      </c>
      <c r="W57" s="136" t="s">
        <v>50</v>
      </c>
      <c r="X57" s="158" t="s">
        <v>50</v>
      </c>
      <c r="Y57" s="38" t="s">
        <v>51</v>
      </c>
      <c r="Z57" s="38" t="s">
        <v>181</v>
      </c>
      <c r="AA57" s="38" t="s">
        <v>1057</v>
      </c>
      <c r="AB57" s="144"/>
      <c r="AC57" s="29"/>
      <c r="AD57" s="119" t="s">
        <v>40</v>
      </c>
      <c r="AE57" s="119" t="s">
        <v>134</v>
      </c>
      <c r="AF57" t="s">
        <v>1034</v>
      </c>
      <c r="AG57" s="921" t="s">
        <v>46</v>
      </c>
    </row>
    <row r="58" spans="1:33" s="64" customFormat="1" ht="24" customHeight="1">
      <c r="A58" s="1677"/>
      <c r="B58"/>
      <c r="C58"/>
      <c r="D58"/>
      <c r="E58"/>
      <c r="F58"/>
      <c r="G58"/>
      <c r="H58"/>
      <c r="I58" s="1687"/>
      <c r="J58" s="38" t="s">
        <v>41</v>
      </c>
      <c r="K58" s="99" t="s">
        <v>1058</v>
      </c>
      <c r="L58" s="99" t="s">
        <v>1059</v>
      </c>
      <c r="M58" s="131" t="s">
        <v>1060</v>
      </c>
      <c r="N58" s="99"/>
      <c r="O58" s="652" t="s">
        <v>40</v>
      </c>
      <c r="P58" s="652" t="s">
        <v>46</v>
      </c>
      <c r="Q58" s="125" t="s">
        <v>239</v>
      </c>
      <c r="R58" s="652" t="s">
        <v>40</v>
      </c>
      <c r="S58" s="99" t="s">
        <v>1040</v>
      </c>
      <c r="T58" s="99">
        <v>8</v>
      </c>
      <c r="U58" s="99">
        <v>200</v>
      </c>
      <c r="V58" s="59">
        <v>4</v>
      </c>
      <c r="W58" s="136" t="s">
        <v>50</v>
      </c>
      <c r="X58" s="120" t="s">
        <v>50</v>
      </c>
      <c r="Y58" s="38" t="s">
        <v>51</v>
      </c>
      <c r="Z58" s="103" t="s">
        <v>52</v>
      </c>
      <c r="AA58" s="103" t="s">
        <v>52</v>
      </c>
      <c r="AB58" s="144"/>
      <c r="AC58" s="29"/>
      <c r="AD58" s="29" t="s">
        <v>40</v>
      </c>
      <c r="AE58" s="29" t="s">
        <v>134</v>
      </c>
      <c r="AF58" t="s">
        <v>1034</v>
      </c>
      <c r="AG58" s="919" t="s">
        <v>46</v>
      </c>
    </row>
    <row r="59" spans="1:33" s="64" customFormat="1" ht="24" customHeight="1">
      <c r="A59" s="1677"/>
      <c r="B59"/>
      <c r="C59"/>
      <c r="D59"/>
      <c r="E59"/>
      <c r="F59"/>
      <c r="G59"/>
      <c r="H59"/>
      <c r="I59" s="1687"/>
      <c r="J59" s="994" t="s">
        <v>41</v>
      </c>
      <c r="K59" s="904" t="s">
        <v>1061</v>
      </c>
      <c r="L59" s="904" t="s">
        <v>1062</v>
      </c>
      <c r="M59" s="905" t="s">
        <v>1063</v>
      </c>
      <c r="N59" s="905"/>
      <c r="O59" s="906" t="s">
        <v>46</v>
      </c>
      <c r="P59" s="907" t="s">
        <v>40</v>
      </c>
      <c r="Q59" s="1532" t="s">
        <v>850</v>
      </c>
      <c r="R59" s="907" t="s">
        <v>40</v>
      </c>
      <c r="S59" s="909" t="s">
        <v>769</v>
      </c>
      <c r="T59" s="910">
        <v>4</v>
      </c>
      <c r="U59" s="904">
        <v>100</v>
      </c>
      <c r="V59" s="905">
        <v>4</v>
      </c>
      <c r="W59" s="911"/>
      <c r="X59" s="912" t="s">
        <v>50</v>
      </c>
      <c r="Y59" s="903" t="s">
        <v>51</v>
      </c>
      <c r="Z59" s="913" t="s">
        <v>52</v>
      </c>
      <c r="AA59" s="913" t="s">
        <v>52</v>
      </c>
      <c r="AB59" s="914"/>
      <c r="AC59" s="915"/>
      <c r="AD59" s="916" t="s">
        <v>40</v>
      </c>
      <c r="AE59" s="1211" t="s">
        <v>134</v>
      </c>
      <c r="AF59" s="29" t="s">
        <v>1064</v>
      </c>
      <c r="AG59" s="918" t="s">
        <v>46</v>
      </c>
    </row>
    <row r="60" spans="1:33" s="64" customFormat="1" ht="24" customHeight="1">
      <c r="A60" s="1677"/>
      <c r="B60"/>
      <c r="C60"/>
      <c r="D60"/>
      <c r="E60"/>
      <c r="F60"/>
      <c r="G60"/>
      <c r="H60"/>
      <c r="I60" s="1687"/>
      <c r="J60" s="44" t="s">
        <v>41</v>
      </c>
      <c r="K60" s="51" t="s">
        <v>1065</v>
      </c>
      <c r="L60" s="51" t="s">
        <v>1066</v>
      </c>
      <c r="M60" s="55" t="s">
        <v>1067</v>
      </c>
      <c r="N60" s="55"/>
      <c r="O60" s="669" t="s">
        <v>46</v>
      </c>
      <c r="P60" s="867" t="s">
        <v>40</v>
      </c>
      <c r="Q60" s="1532" t="s">
        <v>850</v>
      </c>
      <c r="R60" s="867" t="s">
        <v>40</v>
      </c>
      <c r="S60" s="92" t="s">
        <v>769</v>
      </c>
      <c r="T60" s="617">
        <v>4</v>
      </c>
      <c r="U60" s="51">
        <v>100</v>
      </c>
      <c r="V60" s="55">
        <v>4</v>
      </c>
      <c r="W60" s="296"/>
      <c r="X60" s="121" t="s">
        <v>65</v>
      </c>
      <c r="Y60" s="38" t="s">
        <v>51</v>
      </c>
      <c r="Z60" s="103" t="s">
        <v>52</v>
      </c>
      <c r="AA60" s="103" t="s">
        <v>52</v>
      </c>
      <c r="AB60" s="1213"/>
      <c r="AC60" s="1214"/>
      <c r="AD60" s="54" t="s">
        <v>40</v>
      </c>
      <c r="AE60" s="88" t="s">
        <v>134</v>
      </c>
      <c r="AF60" s="29" t="s">
        <v>1064</v>
      </c>
      <c r="AG60" s="962" t="s">
        <v>864</v>
      </c>
    </row>
    <row r="61" spans="1:33" s="64" customFormat="1" ht="15" customHeight="1">
      <c r="A61" s="1677"/>
      <c r="B61"/>
      <c r="C61"/>
      <c r="D61"/>
      <c r="E61"/>
      <c r="F61"/>
      <c r="G61"/>
      <c r="H61"/>
      <c r="I61" s="1687"/>
      <c r="J61" s="38" t="s">
        <v>41</v>
      </c>
      <c r="K61" s="99" t="s">
        <v>1068</v>
      </c>
      <c r="L61" s="99" t="s">
        <v>1069</v>
      </c>
      <c r="M61" s="132" t="s">
        <v>1070</v>
      </c>
      <c r="N61" s="99" t="s">
        <v>1071</v>
      </c>
      <c r="O61" s="644" t="s">
        <v>48</v>
      </c>
      <c r="P61" s="644" t="s">
        <v>48</v>
      </c>
      <c r="Q61" s="99" t="s">
        <v>1072</v>
      </c>
      <c r="R61" s="653" t="s">
        <v>40</v>
      </c>
      <c r="S61" s="99" t="s">
        <v>1073</v>
      </c>
      <c r="T61" s="112">
        <v>4</v>
      </c>
      <c r="U61" s="112">
        <v>50</v>
      </c>
      <c r="V61" s="107">
        <v>2</v>
      </c>
      <c r="W61" s="812" t="s">
        <v>50</v>
      </c>
      <c r="X61" s="120" t="s">
        <v>86</v>
      </c>
      <c r="Y61" s="38" t="s">
        <v>51</v>
      </c>
      <c r="Z61" s="103" t="s">
        <v>52</v>
      </c>
      <c r="AA61" s="103" t="s">
        <v>52</v>
      </c>
      <c r="AB61" s="142"/>
      <c r="AC61" s="97"/>
      <c r="AD61" s="111" t="s">
        <v>40</v>
      </c>
      <c r="AE61" s="736" t="s">
        <v>134</v>
      </c>
      <c r="AF61" s="29" t="s">
        <v>1074</v>
      </c>
      <c r="AG61" s="1400" t="s">
        <v>46</v>
      </c>
    </row>
    <row r="62" spans="1:33" s="64" customFormat="1" ht="15" customHeight="1">
      <c r="A62" s="1677"/>
      <c r="B62"/>
      <c r="C62"/>
      <c r="D62"/>
      <c r="E62"/>
      <c r="F62"/>
      <c r="G62"/>
      <c r="H62"/>
      <c r="I62" s="1687"/>
      <c r="J62" s="38" t="s">
        <v>41</v>
      </c>
      <c r="K62" s="1336" t="s">
        <v>1075</v>
      </c>
      <c r="L62" s="1336" t="s">
        <v>1069</v>
      </c>
      <c r="M62" s="1379"/>
      <c r="N62" s="99"/>
      <c r="O62" s="644" t="s">
        <v>48</v>
      </c>
      <c r="P62" s="644" t="s">
        <v>48</v>
      </c>
      <c r="Q62" s="99" t="s">
        <v>1072</v>
      </c>
      <c r="R62" s="653" t="s">
        <v>40</v>
      </c>
      <c r="S62" s="99" t="s">
        <v>1073</v>
      </c>
      <c r="T62" s="112">
        <v>4</v>
      </c>
      <c r="U62" s="112">
        <v>50</v>
      </c>
      <c r="V62" s="107">
        <v>2</v>
      </c>
      <c r="W62" s="812" t="s">
        <v>50</v>
      </c>
      <c r="X62" s="120" t="s">
        <v>86</v>
      </c>
      <c r="Y62" s="38" t="s">
        <v>51</v>
      </c>
      <c r="Z62" s="103" t="s">
        <v>52</v>
      </c>
      <c r="AA62" s="103" t="s">
        <v>52</v>
      </c>
      <c r="AB62" s="142"/>
      <c r="AC62" s="97"/>
      <c r="AD62" s="111" t="s">
        <v>40</v>
      </c>
      <c r="AE62" s="736" t="s">
        <v>134</v>
      </c>
      <c r="AF62" s="29" t="s">
        <v>1074</v>
      </c>
      <c r="AG62" s="1400" t="s">
        <v>46</v>
      </c>
    </row>
    <row r="63" spans="1:33" ht="30.75" customHeight="1">
      <c r="A63" s="1677"/>
      <c r="I63" s="1687"/>
      <c r="J63" s="38" t="s">
        <v>41</v>
      </c>
      <c r="K63" s="984" t="s">
        <v>1076</v>
      </c>
      <c r="L63" s="984" t="s">
        <v>1077</v>
      </c>
      <c r="M63" s="131" t="s">
        <v>1078</v>
      </c>
      <c r="N63" s="131"/>
      <c r="O63" s="669" t="s">
        <v>46</v>
      </c>
      <c r="P63" s="867" t="s">
        <v>40</v>
      </c>
      <c r="Q63" s="59" t="s">
        <v>1079</v>
      </c>
      <c r="R63" s="669" t="s">
        <v>40</v>
      </c>
      <c r="S63" s="136" t="s">
        <v>1080</v>
      </c>
      <c r="T63" s="99">
        <v>8</v>
      </c>
      <c r="U63" s="99">
        <f>100+300</f>
        <v>400</v>
      </c>
      <c r="V63" s="99">
        <v>2</v>
      </c>
      <c r="W63" s="102"/>
      <c r="X63" s="123" t="s">
        <v>50</v>
      </c>
      <c r="Y63" s="38" t="s">
        <v>51</v>
      </c>
      <c r="Z63" s="38" t="s">
        <v>229</v>
      </c>
      <c r="AA63" s="38" t="s">
        <v>1081</v>
      </c>
      <c r="AB63" s="142"/>
      <c r="AC63" s="97"/>
      <c r="AD63" s="111" t="s">
        <v>40</v>
      </c>
      <c r="AE63" s="736" t="s">
        <v>134</v>
      </c>
      <c r="AF63" s="29" t="s">
        <v>1074</v>
      </c>
      <c r="AG63" s="1400"/>
    </row>
    <row r="64" spans="1:33" ht="15" customHeight="1">
      <c r="A64" s="1677"/>
      <c r="I64" s="1687"/>
      <c r="J64" s="38" t="s">
        <v>41</v>
      </c>
      <c r="K64" s="984" t="s">
        <v>1082</v>
      </c>
      <c r="L64" s="984" t="s">
        <v>1083</v>
      </c>
      <c r="M64" s="131" t="s">
        <v>1084</v>
      </c>
      <c r="N64" s="131"/>
      <c r="O64" s="669" t="s">
        <v>46</v>
      </c>
      <c r="P64" s="867" t="s">
        <v>40</v>
      </c>
      <c r="Q64" s="59" t="s">
        <v>1079</v>
      </c>
      <c r="R64" s="669" t="s">
        <v>40</v>
      </c>
      <c r="S64" s="136" t="s">
        <v>1080</v>
      </c>
      <c r="T64" s="99">
        <v>4</v>
      </c>
      <c r="U64" s="99">
        <f>100+300</f>
        <v>400</v>
      </c>
      <c r="V64" s="99">
        <v>2</v>
      </c>
      <c r="W64" s="102"/>
      <c r="X64" s="123" t="s">
        <v>50</v>
      </c>
      <c r="Y64" s="38" t="s">
        <v>51</v>
      </c>
      <c r="Z64" s="38" t="s">
        <v>229</v>
      </c>
      <c r="AA64" s="38" t="s">
        <v>1081</v>
      </c>
      <c r="AB64" s="142"/>
      <c r="AC64" s="97"/>
      <c r="AD64" s="111" t="s">
        <v>40</v>
      </c>
      <c r="AE64" s="736" t="s">
        <v>134</v>
      </c>
      <c r="AF64" s="29" t="s">
        <v>1074</v>
      </c>
      <c r="AG64" s="1400"/>
    </row>
    <row r="65" spans="1:38" ht="15" customHeight="1">
      <c r="A65" s="1677"/>
      <c r="H65" s="257"/>
      <c r="I65" s="1687"/>
      <c r="J65" s="38" t="s">
        <v>41</v>
      </c>
      <c r="K65" s="99" t="s">
        <v>1085</v>
      </c>
      <c r="L65" s="99" t="s">
        <v>1086</v>
      </c>
      <c r="M65" s="131" t="s">
        <v>1087</v>
      </c>
      <c r="N65" s="99"/>
      <c r="O65" s="669" t="s">
        <v>46</v>
      </c>
      <c r="P65" s="867" t="s">
        <v>40</v>
      </c>
      <c r="Q65" s="131" t="s">
        <v>1032</v>
      </c>
      <c r="R65" s="669" t="s">
        <v>40</v>
      </c>
      <c r="S65" s="212" t="s">
        <v>1080</v>
      </c>
      <c r="T65" s="99">
        <v>8</v>
      </c>
      <c r="U65" s="99">
        <v>250</v>
      </c>
      <c r="V65" s="99">
        <v>4</v>
      </c>
      <c r="W65" s="99" t="s">
        <v>50</v>
      </c>
      <c r="X65" s="103" t="s">
        <v>86</v>
      </c>
      <c r="Y65" s="38" t="s">
        <v>51</v>
      </c>
      <c r="Z65" s="38"/>
      <c r="AA65" s="38"/>
      <c r="AB65" s="110"/>
      <c r="AC65" s="110"/>
      <c r="AD65" s="111" t="s">
        <v>40</v>
      </c>
      <c r="AE65" s="736" t="s">
        <v>134</v>
      </c>
      <c r="AF65" s="29" t="s">
        <v>1074</v>
      </c>
      <c r="AG65" s="1400"/>
    </row>
    <row r="66" spans="1:38" s="109" customFormat="1" ht="27" customHeight="1">
      <c r="A66" s="1677"/>
      <c r="H66" s="198"/>
      <c r="I66" s="1687"/>
      <c r="J66" s="38" t="s">
        <v>41</v>
      </c>
      <c r="K66" s="125" t="s">
        <v>1088</v>
      </c>
      <c r="L66" s="125" t="s">
        <v>1089</v>
      </c>
      <c r="M66" s="225" t="s">
        <v>1090</v>
      </c>
      <c r="N66" s="258" t="s">
        <v>1091</v>
      </c>
      <c r="O66" s="669" t="s">
        <v>46</v>
      </c>
      <c r="P66" s="867" t="s">
        <v>40</v>
      </c>
      <c r="Q66" s="225" t="s">
        <v>1092</v>
      </c>
      <c r="R66" s="669" t="s">
        <v>40</v>
      </c>
      <c r="S66" s="226" t="s">
        <v>769</v>
      </c>
      <c r="T66" s="259">
        <v>16</v>
      </c>
      <c r="U66" s="260">
        <v>350</v>
      </c>
      <c r="V66" s="261">
        <v>2</v>
      </c>
      <c r="W66" s="813" t="s">
        <v>50</v>
      </c>
      <c r="X66" s="1234" t="s">
        <v>86</v>
      </c>
      <c r="Y66" s="38" t="s">
        <v>51</v>
      </c>
      <c r="Z66" s="38" t="s">
        <v>52</v>
      </c>
      <c r="AA66" s="133" t="s">
        <v>52</v>
      </c>
      <c r="AB66" s="125"/>
      <c r="AC66" s="119"/>
      <c r="AD66" s="567" t="s">
        <v>40</v>
      </c>
      <c r="AE66" s="1200" t="s">
        <v>134</v>
      </c>
      <c r="AF66" s="29" t="s">
        <v>1093</v>
      </c>
      <c r="AG66" s="965" t="s">
        <v>1094</v>
      </c>
    </row>
    <row r="67" spans="1:38" s="109" customFormat="1" ht="27" customHeight="1">
      <c r="A67" s="1677"/>
      <c r="C67"/>
      <c r="D67"/>
      <c r="E67"/>
      <c r="F67"/>
      <c r="G67"/>
      <c r="H67"/>
      <c r="I67" s="1687"/>
      <c r="J67" s="44" t="s">
        <v>41</v>
      </c>
      <c r="K67" s="99" t="s">
        <v>1095</v>
      </c>
      <c r="L67" s="99" t="s">
        <v>1096</v>
      </c>
      <c r="M67" s="59" t="s">
        <v>1097</v>
      </c>
      <c r="N67" s="99" t="s">
        <v>680</v>
      </c>
      <c r="O67" s="669" t="s">
        <v>46</v>
      </c>
      <c r="P67" s="867" t="s">
        <v>40</v>
      </c>
      <c r="Q67" s="1532" t="s">
        <v>850</v>
      </c>
      <c r="R67" s="867" t="s">
        <v>40</v>
      </c>
      <c r="S67" s="92" t="s">
        <v>769</v>
      </c>
      <c r="T67" s="618">
        <v>8</v>
      </c>
      <c r="U67" s="99">
        <v>230</v>
      </c>
      <c r="V67" s="102">
        <v>4</v>
      </c>
      <c r="W67" s="102"/>
      <c r="X67" s="137" t="s">
        <v>50</v>
      </c>
      <c r="Y67" s="38" t="s">
        <v>51</v>
      </c>
      <c r="Z67" s="103" t="s">
        <v>52</v>
      </c>
      <c r="AA67" s="141" t="s">
        <v>52</v>
      </c>
      <c r="AB67" s="99"/>
      <c r="AC67" s="29"/>
      <c r="AD67" s="144" t="s">
        <v>40</v>
      </c>
      <c r="AE67" s="88" t="s">
        <v>134</v>
      </c>
      <c r="AF67" s="29" t="s">
        <v>1064</v>
      </c>
      <c r="AG67" s="920" t="s">
        <v>46</v>
      </c>
      <c r="AH67"/>
      <c r="AI67"/>
      <c r="AJ67"/>
      <c r="AK67"/>
      <c r="AL67"/>
    </row>
    <row r="68" spans="1:38" s="109" customFormat="1" ht="27" customHeight="1">
      <c r="A68" s="1677"/>
      <c r="C68"/>
      <c r="D68"/>
      <c r="E68"/>
      <c r="F68"/>
      <c r="G68"/>
      <c r="H68"/>
      <c r="I68" s="1687"/>
      <c r="J68" s="44" t="s">
        <v>41</v>
      </c>
      <c r="K68" s="99" t="s">
        <v>1098</v>
      </c>
      <c r="L68" s="99" t="s">
        <v>1099</v>
      </c>
      <c r="M68" s="59" t="s">
        <v>1100</v>
      </c>
      <c r="N68" s="99"/>
      <c r="O68" s="669" t="s">
        <v>46</v>
      </c>
      <c r="P68" s="867" t="s">
        <v>40</v>
      </c>
      <c r="Q68" s="1532" t="s">
        <v>850</v>
      </c>
      <c r="R68" s="867" t="s">
        <v>40</v>
      </c>
      <c r="S68" s="136" t="s">
        <v>769</v>
      </c>
      <c r="T68" s="200">
        <v>32</v>
      </c>
      <c r="U68" s="99">
        <v>230</v>
      </c>
      <c r="V68" s="131">
        <v>4</v>
      </c>
      <c r="W68" s="102"/>
      <c r="X68" s="137" t="s">
        <v>86</v>
      </c>
      <c r="Y68" s="38" t="s">
        <v>51</v>
      </c>
      <c r="Z68" s="103" t="s">
        <v>52</v>
      </c>
      <c r="AA68" s="141" t="s">
        <v>52</v>
      </c>
      <c r="AB68" s="99"/>
      <c r="AC68" s="29"/>
      <c r="AD68" s="144" t="s">
        <v>48</v>
      </c>
      <c r="AE68" s="29"/>
      <c r="AF68" s="967" t="s">
        <v>1101</v>
      </c>
      <c r="AG68" s="919" t="s">
        <v>1101</v>
      </c>
      <c r="AH68"/>
      <c r="AI68"/>
      <c r="AJ68"/>
      <c r="AK68"/>
      <c r="AL68"/>
    </row>
    <row r="69" spans="1:38" s="109" customFormat="1" ht="27" customHeight="1">
      <c r="A69" s="1677"/>
      <c r="C69"/>
      <c r="D69"/>
      <c r="E69"/>
      <c r="F69"/>
      <c r="G69"/>
      <c r="H69"/>
      <c r="I69" s="1687"/>
      <c r="J69" s="44" t="s">
        <v>41</v>
      </c>
      <c r="K69" s="125" t="s">
        <v>1102</v>
      </c>
      <c r="L69" s="125" t="s">
        <v>1103</v>
      </c>
      <c r="M69" s="117" t="s">
        <v>1104</v>
      </c>
      <c r="N69" s="125"/>
      <c r="O69" s="669" t="s">
        <v>46</v>
      </c>
      <c r="P69" s="867" t="s">
        <v>40</v>
      </c>
      <c r="Q69" s="1532" t="s">
        <v>850</v>
      </c>
      <c r="R69" s="867" t="s">
        <v>40</v>
      </c>
      <c r="S69" s="434" t="s">
        <v>769</v>
      </c>
      <c r="T69" s="297">
        <v>32</v>
      </c>
      <c r="U69" s="125">
        <v>230</v>
      </c>
      <c r="V69" s="298">
        <v>4</v>
      </c>
      <c r="W69" s="432"/>
      <c r="X69" s="484" t="s">
        <v>86</v>
      </c>
      <c r="Y69" s="38" t="s">
        <v>51</v>
      </c>
      <c r="Z69" s="38" t="s">
        <v>52</v>
      </c>
      <c r="AA69" s="133" t="s">
        <v>52</v>
      </c>
      <c r="AB69" s="125"/>
      <c r="AC69" s="119"/>
      <c r="AD69" s="567" t="s">
        <v>48</v>
      </c>
      <c r="AE69" s="119"/>
      <c r="AF69" s="919" t="s">
        <v>1101</v>
      </c>
      <c r="AG69" s="921" t="s">
        <v>1101</v>
      </c>
      <c r="AH69"/>
      <c r="AI69"/>
      <c r="AJ69"/>
      <c r="AK69"/>
      <c r="AL69"/>
    </row>
    <row r="70" spans="1:38" s="109" customFormat="1" ht="27" customHeight="1">
      <c r="A70" s="1677"/>
      <c r="C70"/>
      <c r="D70"/>
      <c r="E70"/>
      <c r="F70"/>
      <c r="G70"/>
      <c r="H70"/>
      <c r="I70" s="1687"/>
      <c r="J70" s="44" t="s">
        <v>41</v>
      </c>
      <c r="K70" s="125" t="s">
        <v>1105</v>
      </c>
      <c r="L70" s="125" t="s">
        <v>1103</v>
      </c>
      <c r="M70" s="117" t="s">
        <v>1106</v>
      </c>
      <c r="N70" s="125"/>
      <c r="O70" s="669" t="s">
        <v>46</v>
      </c>
      <c r="P70" s="867" t="s">
        <v>40</v>
      </c>
      <c r="Q70" s="1532" t="s">
        <v>850</v>
      </c>
      <c r="R70" s="867" t="s">
        <v>40</v>
      </c>
      <c r="S70" s="434" t="s">
        <v>769</v>
      </c>
      <c r="T70" s="125">
        <v>32</v>
      </c>
      <c r="U70" s="258">
        <v>230</v>
      </c>
      <c r="V70" s="125">
        <v>4</v>
      </c>
      <c r="W70" s="432"/>
      <c r="X70" s="484" t="s">
        <v>86</v>
      </c>
      <c r="Y70" s="38" t="s">
        <v>51</v>
      </c>
      <c r="Z70" s="38" t="s">
        <v>52</v>
      </c>
      <c r="AA70" s="133" t="s">
        <v>52</v>
      </c>
      <c r="AB70" s="125"/>
      <c r="AC70" s="119"/>
      <c r="AD70" s="567" t="s">
        <v>48</v>
      </c>
      <c r="AE70" s="119"/>
      <c r="AF70" s="919" t="s">
        <v>1101</v>
      </c>
      <c r="AG70" s="921" t="s">
        <v>1101</v>
      </c>
      <c r="AH70"/>
      <c r="AI70"/>
      <c r="AJ70"/>
      <c r="AK70"/>
      <c r="AL70"/>
    </row>
    <row r="71" spans="1:38" s="109" customFormat="1" ht="27" customHeight="1">
      <c r="A71" s="1677"/>
      <c r="C71"/>
      <c r="D71"/>
      <c r="E71"/>
      <c r="F71"/>
      <c r="G71"/>
      <c r="H71"/>
      <c r="I71" s="1687"/>
      <c r="J71" s="44" t="s">
        <v>41</v>
      </c>
      <c r="K71" s="125" t="s">
        <v>1107</v>
      </c>
      <c r="L71" s="125" t="s">
        <v>1103</v>
      </c>
      <c r="M71" s="117" t="s">
        <v>1108</v>
      </c>
      <c r="N71" s="125"/>
      <c r="O71" s="669" t="s">
        <v>46</v>
      </c>
      <c r="P71" s="867" t="s">
        <v>40</v>
      </c>
      <c r="Q71" s="1532" t="s">
        <v>850</v>
      </c>
      <c r="R71" s="867" t="s">
        <v>40</v>
      </c>
      <c r="S71" s="434" t="s">
        <v>769</v>
      </c>
      <c r="T71" s="125">
        <v>32</v>
      </c>
      <c r="U71" s="125">
        <v>230</v>
      </c>
      <c r="V71" s="125">
        <v>4</v>
      </c>
      <c r="W71" s="432"/>
      <c r="X71" s="484" t="s">
        <v>86</v>
      </c>
      <c r="Y71" s="38" t="s">
        <v>51</v>
      </c>
      <c r="Z71" s="38" t="s">
        <v>52</v>
      </c>
      <c r="AA71" s="133" t="s">
        <v>52</v>
      </c>
      <c r="AB71" s="125"/>
      <c r="AC71" s="119"/>
      <c r="AD71" s="567" t="s">
        <v>48</v>
      </c>
      <c r="AE71" s="119"/>
      <c r="AF71" s="964" t="s">
        <v>1101</v>
      </c>
      <c r="AG71" s="921" t="s">
        <v>1101</v>
      </c>
      <c r="AH71"/>
      <c r="AI71"/>
      <c r="AJ71"/>
      <c r="AK71"/>
      <c r="AL71"/>
    </row>
    <row r="72" spans="1:38" s="109" customFormat="1" ht="27" customHeight="1">
      <c r="A72" s="1677"/>
      <c r="C72"/>
      <c r="D72"/>
      <c r="E72"/>
      <c r="F72"/>
      <c r="G72"/>
      <c r="H72"/>
      <c r="I72" s="1687"/>
      <c r="J72" s="44" t="s">
        <v>41</v>
      </c>
      <c r="K72" s="125" t="s">
        <v>1109</v>
      </c>
      <c r="L72" s="125" t="s">
        <v>1103</v>
      </c>
      <c r="M72" s="117" t="s">
        <v>1110</v>
      </c>
      <c r="N72" s="125"/>
      <c r="O72" s="669" t="s">
        <v>46</v>
      </c>
      <c r="P72" s="867" t="s">
        <v>40</v>
      </c>
      <c r="Q72" s="1532" t="s">
        <v>850</v>
      </c>
      <c r="R72" s="867" t="s">
        <v>40</v>
      </c>
      <c r="S72" s="434" t="s">
        <v>769</v>
      </c>
      <c r="T72" s="125">
        <v>32</v>
      </c>
      <c r="U72" s="125">
        <v>230</v>
      </c>
      <c r="V72" s="125">
        <v>4</v>
      </c>
      <c r="W72" s="432"/>
      <c r="X72" s="484" t="s">
        <v>86</v>
      </c>
      <c r="Y72" s="38" t="s">
        <v>51</v>
      </c>
      <c r="Z72" s="38" t="s">
        <v>52</v>
      </c>
      <c r="AA72" s="133" t="s">
        <v>52</v>
      </c>
      <c r="AB72" s="125"/>
      <c r="AC72" s="119"/>
      <c r="AD72" s="567" t="s">
        <v>48</v>
      </c>
      <c r="AE72" s="119"/>
      <c r="AF72" s="921" t="s">
        <v>1101</v>
      </c>
      <c r="AG72" s="921" t="s">
        <v>1101</v>
      </c>
      <c r="AH72"/>
      <c r="AI72"/>
      <c r="AJ72"/>
      <c r="AK72"/>
      <c r="AL72"/>
    </row>
    <row r="73" spans="1:38" s="109" customFormat="1" ht="27" customHeight="1">
      <c r="A73" s="1677"/>
      <c r="C73"/>
      <c r="D73"/>
      <c r="E73"/>
      <c r="F73"/>
      <c r="G73"/>
      <c r="H73"/>
      <c r="I73" s="1687"/>
      <c r="J73" s="44" t="s">
        <v>41</v>
      </c>
      <c r="K73" s="125" t="s">
        <v>1111</v>
      </c>
      <c r="L73" s="125" t="s">
        <v>1103</v>
      </c>
      <c r="M73" s="117" t="s">
        <v>1112</v>
      </c>
      <c r="N73" s="125"/>
      <c r="O73" s="669" t="s">
        <v>46</v>
      </c>
      <c r="P73" s="867" t="s">
        <v>40</v>
      </c>
      <c r="Q73" s="1532" t="s">
        <v>850</v>
      </c>
      <c r="R73" s="867" t="s">
        <v>40</v>
      </c>
      <c r="S73" s="434" t="s">
        <v>769</v>
      </c>
      <c r="T73" s="564">
        <v>32</v>
      </c>
      <c r="U73" s="564">
        <v>230</v>
      </c>
      <c r="V73" s="125">
        <v>4</v>
      </c>
      <c r="W73" s="432"/>
      <c r="X73" s="484" t="s">
        <v>86</v>
      </c>
      <c r="Y73" s="38" t="s">
        <v>51</v>
      </c>
      <c r="Z73" s="38" t="s">
        <v>52</v>
      </c>
      <c r="AA73" s="133" t="s">
        <v>52</v>
      </c>
      <c r="AB73" s="125"/>
      <c r="AC73" s="119"/>
      <c r="AD73" s="1212" t="s">
        <v>48</v>
      </c>
      <c r="AE73" s="608"/>
      <c r="AF73" s="921" t="s">
        <v>1101</v>
      </c>
      <c r="AG73" s="921" t="s">
        <v>1101</v>
      </c>
      <c r="AH73"/>
      <c r="AI73"/>
      <c r="AJ73"/>
      <c r="AK73"/>
      <c r="AL73"/>
    </row>
    <row r="74" spans="1:38" s="109" customFormat="1" ht="24.6" customHeight="1">
      <c r="A74" s="1677"/>
      <c r="H74" s="606"/>
      <c r="I74" s="1687"/>
      <c r="J74" s="38" t="s">
        <v>41</v>
      </c>
      <c r="K74" s="571" t="s">
        <v>1113</v>
      </c>
      <c r="L74" s="125" t="s">
        <v>1114</v>
      </c>
      <c r="M74" s="117" t="s">
        <v>1115</v>
      </c>
      <c r="N74" s="125"/>
      <c r="O74" s="669" t="s">
        <v>46</v>
      </c>
      <c r="P74" s="867" t="s">
        <v>40</v>
      </c>
      <c r="Q74" s="59" t="s">
        <v>1079</v>
      </c>
      <c r="R74" s="669" t="s">
        <v>40</v>
      </c>
      <c r="S74" s="435" t="s">
        <v>1080</v>
      </c>
      <c r="T74" s="125">
        <v>8</v>
      </c>
      <c r="U74" s="389" t="s">
        <v>1116</v>
      </c>
      <c r="V74" s="117">
        <v>4</v>
      </c>
      <c r="W74" s="630" t="s">
        <v>65</v>
      </c>
      <c r="X74" s="436" t="s">
        <v>50</v>
      </c>
      <c r="Y74" s="38" t="s">
        <v>200</v>
      </c>
      <c r="Z74" s="38" t="s">
        <v>229</v>
      </c>
      <c r="AA74" s="133" t="s">
        <v>1081</v>
      </c>
      <c r="AB74" s="125"/>
      <c r="AC74" s="119"/>
      <c r="AD74" s="567" t="s">
        <v>40</v>
      </c>
      <c r="AE74" s="1212" t="s">
        <v>134</v>
      </c>
      <c r="AF74" t="s">
        <v>1117</v>
      </c>
      <c r="AG74" s="965" t="s">
        <v>46</v>
      </c>
    </row>
    <row r="75" spans="1:38" s="109" customFormat="1" ht="24.6" customHeight="1">
      <c r="A75" s="1677"/>
      <c r="H75" s="606"/>
      <c r="I75" s="1687"/>
      <c r="J75" s="38" t="s">
        <v>41</v>
      </c>
      <c r="K75" s="571" t="s">
        <v>1118</v>
      </c>
      <c r="L75" s="125" t="s">
        <v>1119</v>
      </c>
      <c r="M75" s="117" t="s">
        <v>1120</v>
      </c>
      <c r="N75" s="125"/>
      <c r="O75" s="669" t="s">
        <v>46</v>
      </c>
      <c r="P75" s="867" t="s">
        <v>40</v>
      </c>
      <c r="Q75" s="59" t="s">
        <v>1079</v>
      </c>
      <c r="R75" s="669" t="s">
        <v>40</v>
      </c>
      <c r="S75" s="435" t="s">
        <v>1080</v>
      </c>
      <c r="T75" s="125">
        <v>12</v>
      </c>
      <c r="U75" s="389" t="s">
        <v>1116</v>
      </c>
      <c r="V75" s="117">
        <v>16</v>
      </c>
      <c r="W75" s="630" t="s">
        <v>50</v>
      </c>
      <c r="X75" s="436" t="s">
        <v>50</v>
      </c>
      <c r="Y75" s="38" t="s">
        <v>51</v>
      </c>
      <c r="Z75" s="38" t="s">
        <v>229</v>
      </c>
      <c r="AA75" s="133" t="s">
        <v>1081</v>
      </c>
      <c r="AB75" s="125"/>
      <c r="AC75" s="119"/>
      <c r="AD75" s="1397" t="s">
        <v>40</v>
      </c>
      <c r="AE75" s="119" t="s">
        <v>134</v>
      </c>
      <c r="AF75" s="29" t="s">
        <v>1117</v>
      </c>
      <c r="AG75" s="965" t="s">
        <v>46</v>
      </c>
    </row>
    <row r="76" spans="1:38" s="109" customFormat="1" ht="42.75" customHeight="1">
      <c r="A76" s="1677"/>
      <c r="H76" s="606"/>
      <c r="I76" s="1687"/>
      <c r="J76" s="38" t="s">
        <v>41</v>
      </c>
      <c r="K76" s="571" t="s">
        <v>1121</v>
      </c>
      <c r="L76" s="125" t="s">
        <v>1119</v>
      </c>
      <c r="M76" s="117" t="s">
        <v>1122</v>
      </c>
      <c r="N76" s="125"/>
      <c r="O76" s="669" t="s">
        <v>46</v>
      </c>
      <c r="P76" s="867" t="s">
        <v>40</v>
      </c>
      <c r="Q76" s="59" t="s">
        <v>1079</v>
      </c>
      <c r="R76" s="669" t="s">
        <v>40</v>
      </c>
      <c r="S76" s="435" t="s">
        <v>1080</v>
      </c>
      <c r="T76" s="125">
        <v>8</v>
      </c>
      <c r="U76" s="389" t="s">
        <v>1116</v>
      </c>
      <c r="V76" s="117">
        <v>4</v>
      </c>
      <c r="W76" s="630" t="s">
        <v>50</v>
      </c>
      <c r="X76" s="436" t="s">
        <v>50</v>
      </c>
      <c r="Y76" s="38" t="s">
        <v>51</v>
      </c>
      <c r="Z76" s="38" t="s">
        <v>229</v>
      </c>
      <c r="AA76" s="133" t="s">
        <v>1081</v>
      </c>
      <c r="AB76" s="125"/>
      <c r="AC76" s="119"/>
      <c r="AD76" s="1397" t="s">
        <v>40</v>
      </c>
      <c r="AE76" s="119" t="s">
        <v>134</v>
      </c>
      <c r="AF76" s="29" t="s">
        <v>1117</v>
      </c>
      <c r="AG76" s="965" t="s">
        <v>46</v>
      </c>
    </row>
    <row r="77" spans="1:38" ht="26.25" customHeight="1">
      <c r="A77" s="1677"/>
      <c r="B77" s="109"/>
      <c r="I77" s="1687"/>
      <c r="J77" s="38" t="s">
        <v>41</v>
      </c>
      <c r="K77" s="118" t="s">
        <v>1123</v>
      </c>
      <c r="L77" s="99" t="s">
        <v>1124</v>
      </c>
      <c r="M77" s="107" t="s">
        <v>1125</v>
      </c>
      <c r="N77" s="105" t="s">
        <v>1126</v>
      </c>
      <c r="O77" s="652" t="s">
        <v>40</v>
      </c>
      <c r="P77" s="789" t="s">
        <v>46</v>
      </c>
      <c r="Q77" s="107" t="s">
        <v>1127</v>
      </c>
      <c r="R77" s="644" t="s">
        <v>40</v>
      </c>
      <c r="S77" s="105" t="s">
        <v>1040</v>
      </c>
      <c r="T77" s="220">
        <v>12</v>
      </c>
      <c r="U77" s="256" t="s">
        <v>1056</v>
      </c>
      <c r="V77" s="105">
        <v>4</v>
      </c>
      <c r="W77" s="480" t="s">
        <v>50</v>
      </c>
      <c r="X77" s="201" t="s">
        <v>50</v>
      </c>
      <c r="Y77" s="38" t="s">
        <v>51</v>
      </c>
      <c r="Z77" s="38" t="s">
        <v>181</v>
      </c>
      <c r="AA77" s="38" t="s">
        <v>1057</v>
      </c>
      <c r="AB77" s="147"/>
      <c r="AC77" s="98"/>
      <c r="AD77" s="884" t="s">
        <v>40</v>
      </c>
      <c r="AE77" s="29" t="s">
        <v>134</v>
      </c>
      <c r="AF77" s="29" t="s">
        <v>997</v>
      </c>
      <c r="AG77" s="1398" t="s">
        <v>46</v>
      </c>
    </row>
    <row r="78" spans="1:38" ht="34.5" customHeight="1">
      <c r="A78" s="1677"/>
      <c r="B78" s="109"/>
      <c r="I78" s="1687"/>
      <c r="J78" s="38" t="s">
        <v>41</v>
      </c>
      <c r="K78" s="118" t="s">
        <v>1128</v>
      </c>
      <c r="L78" s="99" t="s">
        <v>1129</v>
      </c>
      <c r="M78" s="131" t="s">
        <v>1130</v>
      </c>
      <c r="N78" s="99"/>
      <c r="O78" s="652" t="s">
        <v>40</v>
      </c>
      <c r="P78" s="789" t="s">
        <v>46</v>
      </c>
      <c r="Q78" s="107" t="s">
        <v>1127</v>
      </c>
      <c r="R78" s="644" t="s">
        <v>40</v>
      </c>
      <c r="S78" s="99" t="s">
        <v>1040</v>
      </c>
      <c r="T78" s="112">
        <v>10</v>
      </c>
      <c r="U78" s="265" t="s">
        <v>1056</v>
      </c>
      <c r="V78" s="112">
        <v>4</v>
      </c>
      <c r="W78" s="480" t="s">
        <v>50</v>
      </c>
      <c r="X78" s="103" t="s">
        <v>50</v>
      </c>
      <c r="Y78" s="38" t="s">
        <v>51</v>
      </c>
      <c r="Z78" s="38" t="s">
        <v>181</v>
      </c>
      <c r="AA78" s="38" t="s">
        <v>1131</v>
      </c>
      <c r="AB78" s="142"/>
      <c r="AC78" s="97"/>
      <c r="AD78" s="88" t="s">
        <v>40</v>
      </c>
      <c r="AE78" s="29" t="s">
        <v>134</v>
      </c>
      <c r="AF78" s="29" t="s">
        <v>1132</v>
      </c>
      <c r="AG78" s="1398" t="s">
        <v>46</v>
      </c>
    </row>
    <row r="79" spans="1:38" ht="15" customHeight="1">
      <c r="A79" s="1677"/>
      <c r="B79" s="109"/>
      <c r="C79" s="108"/>
      <c r="D79" s="108"/>
      <c r="F79" s="109"/>
      <c r="I79" s="1687"/>
      <c r="J79" s="154" t="s">
        <v>41</v>
      </c>
      <c r="K79" s="682" t="s">
        <v>1133</v>
      </c>
      <c r="L79" s="112" t="s">
        <v>1134</v>
      </c>
      <c r="M79" s="615" t="s">
        <v>1135</v>
      </c>
      <c r="N79" s="199" t="s">
        <v>1136</v>
      </c>
      <c r="O79" s="672" t="s">
        <v>46</v>
      </c>
      <c r="P79" s="867" t="s">
        <v>40</v>
      </c>
      <c r="Q79" s="107" t="s">
        <v>1127</v>
      </c>
      <c r="R79" s="669" t="s">
        <v>40</v>
      </c>
      <c r="S79" s="263" t="s">
        <v>163</v>
      </c>
      <c r="T79" s="99">
        <v>8</v>
      </c>
      <c r="U79" s="99">
        <v>250</v>
      </c>
      <c r="V79" s="99">
        <v>4</v>
      </c>
      <c r="W79" s="102" t="s">
        <v>50</v>
      </c>
      <c r="X79" s="264" t="s">
        <v>50</v>
      </c>
      <c r="Y79" s="38" t="s">
        <v>51</v>
      </c>
      <c r="Z79" s="38" t="s">
        <v>52</v>
      </c>
      <c r="AA79" s="38" t="s">
        <v>52</v>
      </c>
      <c r="AB79" s="144"/>
      <c r="AC79" s="29"/>
      <c r="AD79" s="88" t="s">
        <v>40</v>
      </c>
      <c r="AE79" s="29" t="s">
        <v>134</v>
      </c>
      <c r="AF79" s="29" t="s">
        <v>1132</v>
      </c>
      <c r="AG79" s="1398" t="s">
        <v>46</v>
      </c>
    </row>
    <row r="80" spans="1:38" ht="24.75" customHeight="1">
      <c r="A80" s="1677"/>
      <c r="B80" s="109"/>
      <c r="I80" s="1687"/>
      <c r="J80" s="38" t="s">
        <v>41</v>
      </c>
      <c r="K80" s="759" t="s">
        <v>1137</v>
      </c>
      <c r="L80" s="132" t="s">
        <v>1138</v>
      </c>
      <c r="M80" s="112" t="s">
        <v>1139</v>
      </c>
      <c r="N80" s="99"/>
      <c r="O80" s="669" t="s">
        <v>46</v>
      </c>
      <c r="P80" s="683" t="s">
        <v>40</v>
      </c>
      <c r="Q80" s="99" t="s">
        <v>1140</v>
      </c>
      <c r="R80" s="888" t="s">
        <v>40</v>
      </c>
      <c r="S80" s="200" t="s">
        <v>333</v>
      </c>
      <c r="T80" s="99">
        <v>16</v>
      </c>
      <c r="U80" s="104">
        <v>500</v>
      </c>
      <c r="V80" s="99">
        <v>8</v>
      </c>
      <c r="W80" s="131" t="s">
        <v>50</v>
      </c>
      <c r="X80" s="155" t="s">
        <v>50</v>
      </c>
      <c r="Y80" s="38" t="s">
        <v>51</v>
      </c>
      <c r="Z80" s="38"/>
      <c r="AA80" s="38"/>
      <c r="AB80" s="142"/>
      <c r="AC80" s="97"/>
      <c r="AD80" s="88" t="s">
        <v>40</v>
      </c>
      <c r="AE80" s="29" t="s">
        <v>134</v>
      </c>
      <c r="AF80" s="29" t="s">
        <v>1074</v>
      </c>
      <c r="AG80" s="1398" t="s">
        <v>46</v>
      </c>
    </row>
    <row r="81" spans="1:38" s="819" customFormat="1" ht="36" customHeight="1">
      <c r="A81" s="1677"/>
      <c r="B81" s="109"/>
      <c r="C81" s="820"/>
      <c r="D81" s="820"/>
      <c r="I81" s="1687"/>
      <c r="J81" s="822" t="s">
        <v>41</v>
      </c>
      <c r="K81" s="1332" t="s">
        <v>1141</v>
      </c>
      <c r="L81" s="1332" t="s">
        <v>1142</v>
      </c>
      <c r="M81" s="1332" t="s">
        <v>1143</v>
      </c>
      <c r="N81" s="1333"/>
      <c r="O81" s="1334" t="s">
        <v>46</v>
      </c>
      <c r="P81" s="1335" t="s">
        <v>40</v>
      </c>
      <c r="Q81" s="1336" t="s">
        <v>1144</v>
      </c>
      <c r="R81" s="1335" t="s">
        <v>40</v>
      </c>
      <c r="S81" s="1337" t="s">
        <v>769</v>
      </c>
      <c r="T81" s="1332">
        <v>12</v>
      </c>
      <c r="U81" s="1338">
        <f>100+150+200</f>
        <v>450</v>
      </c>
      <c r="V81" s="1332">
        <v>4</v>
      </c>
      <c r="W81" s="1339" t="s">
        <v>819</v>
      </c>
      <c r="X81" s="823" t="s">
        <v>819</v>
      </c>
      <c r="Y81" s="824" t="s">
        <v>46</v>
      </c>
      <c r="Z81" s="824"/>
      <c r="AA81" s="824"/>
      <c r="AB81" s="825"/>
      <c r="AC81" s="826"/>
      <c r="AD81" s="1428" t="s">
        <v>40</v>
      </c>
      <c r="AE81" s="575" t="s">
        <v>134</v>
      </c>
      <c r="AF81" s="29" t="s">
        <v>1005</v>
      </c>
      <c r="AG81" s="1399" t="s">
        <v>46</v>
      </c>
    </row>
    <row r="82" spans="1:38" s="109" customFormat="1" ht="30.75" customHeight="1">
      <c r="A82" s="1677"/>
      <c r="C82" s="108"/>
      <c r="D82" s="108"/>
      <c r="I82" s="1687"/>
      <c r="J82" s="157" t="s">
        <v>41</v>
      </c>
      <c r="K82" s="684" t="s">
        <v>1145</v>
      </c>
      <c r="L82" s="390" t="s">
        <v>1146</v>
      </c>
      <c r="M82" s="390" t="s">
        <v>1147</v>
      </c>
      <c r="N82" s="258"/>
      <c r="O82" s="685" t="s">
        <v>46</v>
      </c>
      <c r="P82" s="669" t="s">
        <v>40</v>
      </c>
      <c r="Q82" s="258" t="s">
        <v>1148</v>
      </c>
      <c r="R82" s="685" t="s">
        <v>40</v>
      </c>
      <c r="S82" s="565" t="s">
        <v>769</v>
      </c>
      <c r="T82" s="125">
        <v>16</v>
      </c>
      <c r="U82" s="125">
        <v>100</v>
      </c>
      <c r="V82" s="125">
        <v>4</v>
      </c>
      <c r="W82" s="432" t="s">
        <v>50</v>
      </c>
      <c r="X82" s="566" t="s">
        <v>50</v>
      </c>
      <c r="Y82" s="38" t="s">
        <v>51</v>
      </c>
      <c r="Z82" s="154" t="s">
        <v>52</v>
      </c>
      <c r="AA82" s="38" t="s">
        <v>52</v>
      </c>
      <c r="AB82" s="567"/>
      <c r="AC82" s="119"/>
      <c r="AD82" s="119" t="s">
        <v>40</v>
      </c>
      <c r="AE82" s="1383" t="s">
        <v>134</v>
      </c>
      <c r="AF82" s="54" t="s">
        <v>1074</v>
      </c>
      <c r="AG82" s="965"/>
    </row>
    <row r="83" spans="1:38" s="109" customFormat="1" ht="64.5" customHeight="1">
      <c r="A83" s="1677"/>
      <c r="C83" s="108"/>
      <c r="D83" s="108"/>
      <c r="I83" s="1687"/>
      <c r="J83" s="38" t="s">
        <v>41</v>
      </c>
      <c r="K83" s="686" t="s">
        <v>1149</v>
      </c>
      <c r="L83" s="125" t="s">
        <v>1150</v>
      </c>
      <c r="M83" s="565" t="s">
        <v>1151</v>
      </c>
      <c r="N83" s="568" t="s">
        <v>1152</v>
      </c>
      <c r="O83" s="672" t="s">
        <v>46</v>
      </c>
      <c r="P83" s="672" t="s">
        <v>40</v>
      </c>
      <c r="Q83" s="499" t="s">
        <v>1153</v>
      </c>
      <c r="R83" s="787" t="s">
        <v>40</v>
      </c>
      <c r="S83" s="125" t="s">
        <v>163</v>
      </c>
      <c r="T83" s="298">
        <v>4</v>
      </c>
      <c r="U83" s="125">
        <v>120</v>
      </c>
      <c r="V83" s="125">
        <v>8</v>
      </c>
      <c r="W83" s="432" t="s">
        <v>50</v>
      </c>
      <c r="X83" s="31" t="s">
        <v>86</v>
      </c>
      <c r="Y83" s="38" t="s">
        <v>51</v>
      </c>
      <c r="Z83" s="154"/>
      <c r="AA83" s="44"/>
      <c r="AB83" s="567"/>
      <c r="AC83" s="119"/>
      <c r="AD83" s="119" t="s">
        <v>40</v>
      </c>
      <c r="AE83" s="1200" t="s">
        <v>134</v>
      </c>
      <c r="AF83" s="29" t="s">
        <v>1074</v>
      </c>
      <c r="AG83" s="965" t="s">
        <v>46</v>
      </c>
    </row>
    <row r="84" spans="1:38" s="109" customFormat="1" ht="45" customHeight="1">
      <c r="A84" s="1677"/>
      <c r="C84" s="108"/>
      <c r="D84" s="108"/>
      <c r="I84" s="1687"/>
      <c r="J84" s="38" t="s">
        <v>41</v>
      </c>
      <c r="K84" s="106" t="s">
        <v>1154</v>
      </c>
      <c r="L84" s="125" t="s">
        <v>1155</v>
      </c>
      <c r="M84" s="660" t="s">
        <v>1156</v>
      </c>
      <c r="N84" s="297"/>
      <c r="O84" s="653" t="s">
        <v>48</v>
      </c>
      <c r="P84" s="653" t="s">
        <v>48</v>
      </c>
      <c r="Q84" s="1532" t="s">
        <v>850</v>
      </c>
      <c r="R84" s="788" t="s">
        <v>40</v>
      </c>
      <c r="S84" s="432" t="s">
        <v>1157</v>
      </c>
      <c r="T84" s="125">
        <v>256</v>
      </c>
      <c r="U84" s="125">
        <f>100+550+2295</f>
        <v>2945</v>
      </c>
      <c r="V84" s="125">
        <v>32</v>
      </c>
      <c r="W84" s="298" t="s">
        <v>50</v>
      </c>
      <c r="X84" s="44" t="s">
        <v>65</v>
      </c>
      <c r="Y84" s="38" t="s">
        <v>51</v>
      </c>
      <c r="Z84" s="38" t="s">
        <v>52</v>
      </c>
      <c r="AA84" s="44" t="s">
        <v>52</v>
      </c>
      <c r="AB84" s="567"/>
      <c r="AC84" s="119"/>
      <c r="AD84" s="119" t="s">
        <v>40</v>
      </c>
      <c r="AE84" s="1200" t="s">
        <v>134</v>
      </c>
      <c r="AF84" s="111" t="s">
        <v>1028</v>
      </c>
      <c r="AG84" s="965" t="s">
        <v>46</v>
      </c>
    </row>
    <row r="85" spans="1:38" s="93" customFormat="1" ht="27.75" customHeight="1">
      <c r="A85" s="1677"/>
      <c r="B85" s="109"/>
      <c r="C85" s="109"/>
      <c r="D85" s="109"/>
      <c r="E85" s="109"/>
      <c r="F85" s="109"/>
      <c r="G85" s="109"/>
      <c r="H85" s="109"/>
      <c r="I85" s="1687"/>
      <c r="J85" s="38" t="s">
        <v>41</v>
      </c>
      <c r="K85" s="125" t="s">
        <v>1158</v>
      </c>
      <c r="L85" s="125" t="s">
        <v>1159</v>
      </c>
      <c r="M85" s="390" t="s">
        <v>1160</v>
      </c>
      <c r="N85" s="499"/>
      <c r="O85" s="644" t="s">
        <v>46</v>
      </c>
      <c r="P85" s="644" t="s">
        <v>40</v>
      </c>
      <c r="Q85" s="1532" t="s">
        <v>850</v>
      </c>
      <c r="R85" s="644" t="s">
        <v>40</v>
      </c>
      <c r="S85" s="298" t="s">
        <v>1161</v>
      </c>
      <c r="T85" s="390">
        <v>6</v>
      </c>
      <c r="U85" s="258">
        <v>70</v>
      </c>
      <c r="V85" s="225">
        <v>2</v>
      </c>
      <c r="W85" s="814" t="s">
        <v>50</v>
      </c>
      <c r="X85" s="202" t="s">
        <v>65</v>
      </c>
      <c r="Y85" s="38" t="s">
        <v>51</v>
      </c>
      <c r="Z85" s="174" t="s">
        <v>52</v>
      </c>
      <c r="AA85" s="38" t="s">
        <v>52</v>
      </c>
      <c r="AB85" s="144"/>
      <c r="AC85" s="29"/>
      <c r="AD85" s="119" t="s">
        <v>40</v>
      </c>
      <c r="AE85" s="1200" t="s">
        <v>134</v>
      </c>
      <c r="AF85" s="29" t="s">
        <v>1093</v>
      </c>
      <c r="AG85" s="965" t="s">
        <v>46</v>
      </c>
    </row>
    <row r="86" spans="1:38" s="93" customFormat="1" ht="67.5" customHeight="1">
      <c r="A86" s="1677"/>
      <c r="B86"/>
      <c r="C86"/>
      <c r="D86"/>
      <c r="E86" s="109"/>
      <c r="F86" s="109"/>
      <c r="G86" s="109"/>
      <c r="H86" s="109"/>
      <c r="I86" s="1687"/>
      <c r="J86" s="38" t="s">
        <v>41</v>
      </c>
      <c r="K86" s="125" t="s">
        <v>1162</v>
      </c>
      <c r="L86" s="125" t="s">
        <v>1163</v>
      </c>
      <c r="M86" s="390" t="s">
        <v>1164</v>
      </c>
      <c r="N86" s="499"/>
      <c r="O86" s="669" t="s">
        <v>46</v>
      </c>
      <c r="P86" s="669" t="s">
        <v>40</v>
      </c>
      <c r="Q86" s="125" t="s">
        <v>396</v>
      </c>
      <c r="R86" s="669" t="s">
        <v>40</v>
      </c>
      <c r="S86" s="298" t="s">
        <v>1165</v>
      </c>
      <c r="T86" s="390">
        <v>8</v>
      </c>
      <c r="U86" s="258">
        <v>100</v>
      </c>
      <c r="V86" s="225">
        <v>4</v>
      </c>
      <c r="W86" s="814" t="s">
        <v>50</v>
      </c>
      <c r="X86" s="202" t="s">
        <v>50</v>
      </c>
      <c r="Y86" s="38" t="s">
        <v>51</v>
      </c>
      <c r="Z86" s="174" t="s">
        <v>52</v>
      </c>
      <c r="AA86" s="38" t="s">
        <v>52</v>
      </c>
      <c r="AB86" s="567"/>
      <c r="AC86" s="119"/>
      <c r="AD86" s="119" t="s">
        <v>40</v>
      </c>
      <c r="AE86" s="1200" t="s">
        <v>134</v>
      </c>
      <c r="AF86" s="29" t="s">
        <v>1132</v>
      </c>
      <c r="AG86" s="965"/>
    </row>
    <row r="87" spans="1:38" s="93" customFormat="1" ht="27.75" customHeight="1">
      <c r="A87" s="1677"/>
      <c r="B87"/>
      <c r="C87"/>
      <c r="D87"/>
      <c r="E87" s="109"/>
      <c r="F87" s="109"/>
      <c r="G87" s="109"/>
      <c r="H87" s="109"/>
      <c r="I87" s="1687"/>
      <c r="J87" s="38" t="s">
        <v>41</v>
      </c>
      <c r="K87" s="125" t="s">
        <v>1166</v>
      </c>
      <c r="L87" s="125" t="s">
        <v>1167</v>
      </c>
      <c r="M87" s="390" t="s">
        <v>1168</v>
      </c>
      <c r="N87" s="499"/>
      <c r="O87" s="644" t="s">
        <v>48</v>
      </c>
      <c r="P87" s="644" t="s">
        <v>48</v>
      </c>
      <c r="Q87" s="125" t="s">
        <v>47</v>
      </c>
      <c r="R87" s="644" t="s">
        <v>40</v>
      </c>
      <c r="S87" s="298" t="s">
        <v>1169</v>
      </c>
      <c r="T87" s="390">
        <v>16</v>
      </c>
      <c r="U87" s="258">
        <v>500</v>
      </c>
      <c r="V87" s="225">
        <v>4</v>
      </c>
      <c r="W87" s="814" t="s">
        <v>50</v>
      </c>
      <c r="X87" s="202" t="s">
        <v>50</v>
      </c>
      <c r="Y87" s="38" t="s">
        <v>51</v>
      </c>
      <c r="Z87" s="174"/>
      <c r="AA87" s="38"/>
      <c r="AB87" s="144"/>
      <c r="AC87" s="29"/>
      <c r="AD87" s="119" t="s">
        <v>40</v>
      </c>
      <c r="AE87" s="1200" t="s">
        <v>134</v>
      </c>
      <c r="AF87" s="29" t="s">
        <v>1132</v>
      </c>
      <c r="AG87" s="965" t="s">
        <v>46</v>
      </c>
    </row>
    <row r="88" spans="1:38" s="93" customFormat="1" ht="39.75" customHeight="1">
      <c r="A88" s="1677"/>
      <c r="B88"/>
      <c r="C88"/>
      <c r="D88"/>
      <c r="E88" s="109"/>
      <c r="F88" s="109"/>
      <c r="G88" s="109"/>
      <c r="H88" s="109"/>
      <c r="I88" s="1687"/>
      <c r="J88" s="38" t="s">
        <v>41</v>
      </c>
      <c r="K88" s="571" t="s">
        <v>1170</v>
      </c>
      <c r="L88" s="125" t="s">
        <v>1171</v>
      </c>
      <c r="M88" s="298" t="s">
        <v>1172</v>
      </c>
      <c r="N88" s="1420" t="s">
        <v>1173</v>
      </c>
      <c r="O88" s="669" t="s">
        <v>46</v>
      </c>
      <c r="P88" s="669" t="s">
        <v>1174</v>
      </c>
      <c r="Q88" s="258" t="s">
        <v>186</v>
      </c>
      <c r="R88" s="786" t="s">
        <v>40</v>
      </c>
      <c r="S88" s="258" t="s">
        <v>899</v>
      </c>
      <c r="T88" s="298">
        <v>2</v>
      </c>
      <c r="U88" s="125">
        <v>50</v>
      </c>
      <c r="V88" s="117">
        <v>2</v>
      </c>
      <c r="W88" s="630" t="s">
        <v>50</v>
      </c>
      <c r="X88" s="158" t="s">
        <v>86</v>
      </c>
      <c r="Y88" s="38" t="s">
        <v>51</v>
      </c>
      <c r="Z88" s="38" t="s">
        <v>52</v>
      </c>
      <c r="AA88" s="38" t="s">
        <v>52</v>
      </c>
      <c r="AB88" s="567"/>
      <c r="AC88" s="119"/>
      <c r="AD88" s="119" t="s">
        <v>40</v>
      </c>
      <c r="AE88" s="1200" t="s">
        <v>134</v>
      </c>
      <c r="AF88" s="29" t="s">
        <v>997</v>
      </c>
      <c r="AG88" s="965" t="s">
        <v>46</v>
      </c>
    </row>
    <row r="89" spans="1:38" s="93" customFormat="1" ht="39.75" customHeight="1">
      <c r="A89" s="1677"/>
      <c r="B89"/>
      <c r="C89"/>
      <c r="D89"/>
      <c r="E89" s="109"/>
      <c r="F89" s="109"/>
      <c r="G89" s="109"/>
      <c r="H89" s="109"/>
      <c r="I89" s="1687"/>
      <c r="J89" s="44" t="s">
        <v>41</v>
      </c>
      <c r="K89" s="1332" t="s">
        <v>1175</v>
      </c>
      <c r="L89" s="125" t="s">
        <v>1176</v>
      </c>
      <c r="M89" s="432" t="s">
        <v>1177</v>
      </c>
      <c r="N89" s="125"/>
      <c r="O89" s="683"/>
      <c r="P89" s="786" t="s">
        <v>40</v>
      </c>
      <c r="Q89" s="432"/>
      <c r="R89" s="786" t="s">
        <v>40</v>
      </c>
      <c r="S89" s="258" t="s">
        <v>899</v>
      </c>
      <c r="T89" s="432">
        <v>2</v>
      </c>
      <c r="U89" s="432">
        <v>30</v>
      </c>
      <c r="V89" s="117">
        <v>2</v>
      </c>
      <c r="W89" s="630" t="s">
        <v>50</v>
      </c>
      <c r="X89" s="202" t="s">
        <v>50</v>
      </c>
      <c r="Y89" s="38" t="s">
        <v>51</v>
      </c>
      <c r="Z89" s="38"/>
      <c r="AA89" s="38"/>
      <c r="AB89" s="567"/>
      <c r="AC89" s="119"/>
      <c r="AD89" s="119"/>
      <c r="AE89" s="1200"/>
      <c r="AF89" s="111" t="s">
        <v>1005</v>
      </c>
      <c r="AG89" s="965"/>
    </row>
    <row r="90" spans="1:38" s="109" customFormat="1" ht="39.75" customHeight="1">
      <c r="A90" s="1677"/>
      <c r="B90"/>
      <c r="C90"/>
      <c r="D90"/>
      <c r="E90"/>
      <c r="F90"/>
      <c r="G90"/>
      <c r="H90"/>
      <c r="I90" s="1687"/>
      <c r="J90" s="44" t="s">
        <v>41</v>
      </c>
      <c r="K90" s="571" t="s">
        <v>1178</v>
      </c>
      <c r="L90" s="117" t="s">
        <v>1179</v>
      </c>
      <c r="M90" s="434" t="s">
        <v>1180</v>
      </c>
      <c r="N90" s="226" t="s">
        <v>1181</v>
      </c>
      <c r="O90" s="669" t="s">
        <v>46</v>
      </c>
      <c r="P90" s="867" t="s">
        <v>40</v>
      </c>
      <c r="Q90" s="434" t="s">
        <v>1182</v>
      </c>
      <c r="R90" s="669" t="s">
        <v>40</v>
      </c>
      <c r="S90" s="434" t="s">
        <v>1183</v>
      </c>
      <c r="T90" s="434">
        <v>16</v>
      </c>
      <c r="U90" s="434">
        <v>200</v>
      </c>
      <c r="V90" s="434">
        <v>4</v>
      </c>
      <c r="W90" s="435" t="s">
        <v>1184</v>
      </c>
      <c r="X90" s="436" t="s">
        <v>65</v>
      </c>
      <c r="Y90" s="38" t="s">
        <v>200</v>
      </c>
      <c r="Z90" s="103" t="s">
        <v>52</v>
      </c>
      <c r="AA90" s="103" t="s">
        <v>52</v>
      </c>
      <c r="AB90" s="142"/>
      <c r="AC90" s="97"/>
      <c r="AD90" s="29" t="s">
        <v>40</v>
      </c>
      <c r="AE90" s="88" t="s">
        <v>1185</v>
      </c>
      <c r="AF90" s="29" t="s">
        <v>1132</v>
      </c>
      <c r="AG90" s="962" t="s">
        <v>46</v>
      </c>
      <c r="AH90"/>
      <c r="AI90"/>
      <c r="AJ90"/>
      <c r="AK90"/>
      <c r="AL90"/>
    </row>
    <row r="91" spans="1:38" s="93" customFormat="1" ht="33" customHeight="1">
      <c r="A91" s="1677"/>
      <c r="B91"/>
      <c r="C91"/>
      <c r="D91"/>
      <c r="E91" s="109"/>
      <c r="F91" s="109"/>
      <c r="G91" s="109"/>
      <c r="H91" s="109"/>
      <c r="I91" s="1687"/>
      <c r="J91" s="44" t="s">
        <v>41</v>
      </c>
      <c r="K91" s="571" t="s">
        <v>1186</v>
      </c>
      <c r="L91" s="125" t="s">
        <v>1187</v>
      </c>
      <c r="M91" s="390" t="s">
        <v>1188</v>
      </c>
      <c r="N91" s="499"/>
      <c r="O91" s="669" t="s">
        <v>46</v>
      </c>
      <c r="P91" s="669" t="s">
        <v>40</v>
      </c>
      <c r="Q91" s="125" t="s">
        <v>1189</v>
      </c>
      <c r="R91" s="685" t="s">
        <v>40</v>
      </c>
      <c r="S91" s="125" t="s">
        <v>899</v>
      </c>
      <c r="T91" s="298">
        <v>2</v>
      </c>
      <c r="U91" s="125">
        <v>30</v>
      </c>
      <c r="V91" s="117">
        <v>2</v>
      </c>
      <c r="W91" s="814"/>
      <c r="X91" s="202" t="s">
        <v>86</v>
      </c>
      <c r="Y91" s="38" t="s">
        <v>200</v>
      </c>
      <c r="Z91" s="174"/>
      <c r="AA91" s="38"/>
      <c r="AB91" s="567"/>
      <c r="AC91" s="119"/>
      <c r="AD91" s="119"/>
      <c r="AE91" s="1200" t="s">
        <v>134</v>
      </c>
      <c r="AF91" s="29" t="s">
        <v>1132</v>
      </c>
      <c r="AG91" s="965"/>
    </row>
    <row r="92" spans="1:38" ht="13.5" customHeight="1">
      <c r="A92" s="1677"/>
      <c r="I92" s="1687"/>
      <c r="J92" s="44" t="s">
        <v>41</v>
      </c>
      <c r="K92" s="118" t="s">
        <v>1190</v>
      </c>
      <c r="L92" s="99" t="s">
        <v>1191</v>
      </c>
      <c r="M92" s="59" t="s">
        <v>1192</v>
      </c>
      <c r="N92" s="136"/>
      <c r="O92" s="669" t="s">
        <v>46</v>
      </c>
      <c r="P92" s="669" t="s">
        <v>40</v>
      </c>
      <c r="Q92" s="99" t="s">
        <v>1193</v>
      </c>
      <c r="R92" s="669" t="s">
        <v>40</v>
      </c>
      <c r="S92" s="99" t="s">
        <v>899</v>
      </c>
      <c r="T92" s="59">
        <v>16</v>
      </c>
      <c r="U92" s="92">
        <v>100</v>
      </c>
      <c r="V92" s="92">
        <v>8</v>
      </c>
      <c r="W92" s="136" t="s">
        <v>50</v>
      </c>
      <c r="X92" s="123" t="s">
        <v>50</v>
      </c>
      <c r="Y92" s="38" t="s">
        <v>51</v>
      </c>
      <c r="Z92" s="38" t="s">
        <v>52</v>
      </c>
      <c r="AA92" s="38" t="s">
        <v>52</v>
      </c>
      <c r="AB92" s="142"/>
      <c r="AC92" s="97"/>
      <c r="AD92" s="29" t="s">
        <v>40</v>
      </c>
      <c r="AE92" s="88" t="s">
        <v>134</v>
      </c>
      <c r="AF92" s="29" t="s">
        <v>1005</v>
      </c>
      <c r="AG92" s="962" t="s">
        <v>46</v>
      </c>
    </row>
    <row r="93" spans="1:38" s="64" customFormat="1" ht="12" customHeight="1">
      <c r="A93" s="1677"/>
      <c r="B93"/>
      <c r="C93"/>
      <c r="D93"/>
      <c r="E93"/>
      <c r="F93"/>
      <c r="G93"/>
      <c r="H93"/>
      <c r="I93" s="1687"/>
      <c r="J93" s="44" t="s">
        <v>41</v>
      </c>
      <c r="K93" s="118" t="s">
        <v>1194</v>
      </c>
      <c r="L93" s="99" t="s">
        <v>1195</v>
      </c>
      <c r="M93" s="131" t="s">
        <v>1196</v>
      </c>
      <c r="N93" s="200" t="s">
        <v>1197</v>
      </c>
      <c r="O93" s="669" t="s">
        <v>46</v>
      </c>
      <c r="P93" s="669" t="s">
        <v>40</v>
      </c>
      <c r="Q93" s="99" t="s">
        <v>1193</v>
      </c>
      <c r="R93" s="669" t="s">
        <v>40</v>
      </c>
      <c r="S93" s="99" t="s">
        <v>899</v>
      </c>
      <c r="T93" s="131">
        <v>4</v>
      </c>
      <c r="U93" s="99">
        <v>150</v>
      </c>
      <c r="V93" s="59">
        <v>2</v>
      </c>
      <c r="W93" s="811" t="s">
        <v>50</v>
      </c>
      <c r="X93" s="120" t="s">
        <v>50</v>
      </c>
      <c r="Y93" s="38" t="s">
        <v>51</v>
      </c>
      <c r="Z93" s="38" t="s">
        <v>52</v>
      </c>
      <c r="AA93" s="38" t="s">
        <v>52</v>
      </c>
      <c r="AB93" s="144"/>
      <c r="AC93" s="29"/>
      <c r="AD93" s="29" t="s">
        <v>40</v>
      </c>
      <c r="AE93" s="736" t="s">
        <v>134</v>
      </c>
      <c r="AF93" s="29" t="s">
        <v>1005</v>
      </c>
      <c r="AG93" s="962" t="s">
        <v>46</v>
      </c>
    </row>
    <row r="94" spans="1:38" s="64" customFormat="1" ht="12" customHeight="1">
      <c r="A94" s="1677"/>
      <c r="B94"/>
      <c r="C94"/>
      <c r="D94"/>
      <c r="E94"/>
      <c r="F94"/>
      <c r="G94"/>
      <c r="H94"/>
      <c r="I94" s="1687"/>
      <c r="J94" s="44" t="s">
        <v>41</v>
      </c>
      <c r="K94" s="118" t="s">
        <v>1198</v>
      </c>
      <c r="L94" s="112" t="s">
        <v>1199</v>
      </c>
      <c r="M94" s="132" t="s">
        <v>1200</v>
      </c>
      <c r="N94" s="618" t="s">
        <v>1201</v>
      </c>
      <c r="O94" s="672" t="s">
        <v>46</v>
      </c>
      <c r="P94" s="672" t="s">
        <v>40</v>
      </c>
      <c r="Q94" s="112" t="s">
        <v>1193</v>
      </c>
      <c r="R94" s="672" t="s">
        <v>40</v>
      </c>
      <c r="S94" s="112" t="s">
        <v>899</v>
      </c>
      <c r="T94" s="132">
        <v>4</v>
      </c>
      <c r="U94" s="112">
        <v>150</v>
      </c>
      <c r="V94" s="107">
        <v>2</v>
      </c>
      <c r="W94" s="812" t="s">
        <v>50</v>
      </c>
      <c r="X94" s="124" t="s">
        <v>50</v>
      </c>
      <c r="Y94" s="154" t="s">
        <v>51</v>
      </c>
      <c r="Z94" s="154" t="s">
        <v>52</v>
      </c>
      <c r="AA94" s="154" t="s">
        <v>52</v>
      </c>
      <c r="AB94" s="146"/>
      <c r="AC94" s="111"/>
      <c r="AD94" s="736" t="s">
        <v>40</v>
      </c>
      <c r="AE94" s="88" t="s">
        <v>134</v>
      </c>
      <c r="AF94" s="29" t="s">
        <v>1202</v>
      </c>
      <c r="AG94" s="962" t="s">
        <v>46</v>
      </c>
    </row>
    <row r="95" spans="1:38" s="64" customFormat="1" ht="25.5" customHeight="1">
      <c r="A95" s="1677"/>
      <c r="B95"/>
      <c r="C95"/>
      <c r="D95"/>
      <c r="E95"/>
      <c r="F95"/>
      <c r="G95"/>
      <c r="H95"/>
      <c r="I95" s="1687"/>
      <c r="J95" s="44" t="s">
        <v>41</v>
      </c>
      <c r="K95" s="776" t="s">
        <v>1203</v>
      </c>
      <c r="L95" s="116">
        <v>59</v>
      </c>
      <c r="M95" s="55" t="s">
        <v>1204</v>
      </c>
      <c r="N95" s="296"/>
      <c r="O95" s="669" t="s">
        <v>46</v>
      </c>
      <c r="P95" s="867" t="s">
        <v>40</v>
      </c>
      <c r="Q95" s="1532" t="s">
        <v>850</v>
      </c>
      <c r="R95" s="867" t="s">
        <v>40</v>
      </c>
      <c r="S95" s="99" t="s">
        <v>769</v>
      </c>
      <c r="T95" s="55">
        <v>8</v>
      </c>
      <c r="U95" s="56">
        <v>100</v>
      </c>
      <c r="V95" s="56">
        <v>4</v>
      </c>
      <c r="W95" s="617"/>
      <c r="X95" s="123" t="s">
        <v>50</v>
      </c>
      <c r="Y95" s="38" t="s">
        <v>51</v>
      </c>
      <c r="Z95" s="38" t="s">
        <v>52</v>
      </c>
      <c r="AA95" s="38" t="s">
        <v>52</v>
      </c>
      <c r="AB95" s="147"/>
      <c r="AC95" s="98"/>
      <c r="AD95" s="29" t="s">
        <v>40</v>
      </c>
      <c r="AE95" s="88" t="s">
        <v>134</v>
      </c>
      <c r="AF95" s="29" t="s">
        <v>1064</v>
      </c>
      <c r="AG95" s="962" t="s">
        <v>46</v>
      </c>
      <c r="AH95"/>
      <c r="AI95"/>
      <c r="AJ95"/>
      <c r="AK95"/>
      <c r="AL95"/>
    </row>
    <row r="96" spans="1:38" s="64" customFormat="1" ht="51.75" customHeight="1">
      <c r="A96" s="1677"/>
      <c r="B96"/>
      <c r="C96"/>
      <c r="D96"/>
      <c r="E96"/>
      <c r="F96"/>
      <c r="G96"/>
      <c r="H96"/>
      <c r="I96" s="1687"/>
      <c r="J96" s="44" t="s">
        <v>41</v>
      </c>
      <c r="K96" s="966" t="s">
        <v>1205</v>
      </c>
      <c r="L96" s="99" t="s">
        <v>1206</v>
      </c>
      <c r="M96" s="132" t="s">
        <v>1207</v>
      </c>
      <c r="N96" s="99"/>
      <c r="O96" s="672" t="s">
        <v>46</v>
      </c>
      <c r="P96" s="672" t="s">
        <v>40</v>
      </c>
      <c r="Q96" s="860" t="s">
        <v>1208</v>
      </c>
      <c r="R96" s="672" t="s">
        <v>40</v>
      </c>
      <c r="S96" s="99" t="s">
        <v>899</v>
      </c>
      <c r="T96" s="132">
        <v>4</v>
      </c>
      <c r="U96" s="99">
        <v>100</v>
      </c>
      <c r="V96" s="132">
        <v>4</v>
      </c>
      <c r="W96" s="812" t="s">
        <v>50</v>
      </c>
      <c r="X96" s="492" t="s">
        <v>50</v>
      </c>
      <c r="Y96" s="154" t="s">
        <v>51</v>
      </c>
      <c r="Z96" s="38"/>
      <c r="AA96" s="38"/>
      <c r="AB96" s="29"/>
      <c r="AC96" s="29"/>
      <c r="AD96" s="88" t="s">
        <v>40</v>
      </c>
      <c r="AE96" s="29" t="s">
        <v>134</v>
      </c>
      <c r="AF96" s="53" t="s">
        <v>884</v>
      </c>
      <c r="AG96" s="920"/>
    </row>
    <row r="97" spans="1:38" ht="39.75" customHeight="1">
      <c r="A97" s="1677"/>
      <c r="I97" s="1687"/>
      <c r="J97" s="696" t="s">
        <v>41</v>
      </c>
      <c r="K97" s="862" t="s">
        <v>1209</v>
      </c>
      <c r="L97" s="1225" t="s">
        <v>1210</v>
      </c>
      <c r="M97" s="99" t="s">
        <v>1211</v>
      </c>
      <c r="N97" s="866" t="s">
        <v>1212</v>
      </c>
      <c r="O97" s="867" t="s">
        <v>46</v>
      </c>
      <c r="P97" s="669" t="s">
        <v>40</v>
      </c>
      <c r="Q97" s="99" t="s">
        <v>1208</v>
      </c>
      <c r="R97" s="669" t="s">
        <v>40</v>
      </c>
      <c r="S97" s="1201" t="s">
        <v>899</v>
      </c>
      <c r="T97" s="99">
        <v>4</v>
      </c>
      <c r="U97" s="866">
        <v>100</v>
      </c>
      <c r="V97" s="200">
        <v>4</v>
      </c>
      <c r="W97" s="99" t="s">
        <v>50</v>
      </c>
      <c r="X97" s="485" t="s">
        <v>50</v>
      </c>
      <c r="Y97" s="38" t="s">
        <v>51</v>
      </c>
      <c r="Z97" s="155"/>
      <c r="AA97" s="103"/>
      <c r="AB97" s="29"/>
      <c r="AC97" s="29"/>
      <c r="AD97" s="29" t="s">
        <v>40</v>
      </c>
      <c r="AE97" s="54" t="s">
        <v>134</v>
      </c>
      <c r="AF97" s="111" t="s">
        <v>884</v>
      </c>
      <c r="AG97" s="920"/>
    </row>
    <row r="98" spans="1:38" ht="32.25" customHeight="1">
      <c r="A98" s="1677"/>
      <c r="B98" s="31"/>
      <c r="I98" s="1687"/>
      <c r="J98" s="44" t="s">
        <v>41</v>
      </c>
      <c r="K98" s="861" t="s">
        <v>1213</v>
      </c>
      <c r="L98" s="863" t="s">
        <v>241</v>
      </c>
      <c r="M98" s="864" t="s">
        <v>1214</v>
      </c>
      <c r="N98" s="865"/>
      <c r="O98" s="685" t="s">
        <v>46</v>
      </c>
      <c r="P98" s="685" t="s">
        <v>40</v>
      </c>
      <c r="Q98" s="1532" t="s">
        <v>850</v>
      </c>
      <c r="R98" s="685" t="s">
        <v>40</v>
      </c>
      <c r="S98" s="263" t="s">
        <v>163</v>
      </c>
      <c r="T98" s="51">
        <v>32</v>
      </c>
      <c r="U98" s="1202" t="s">
        <v>1215</v>
      </c>
      <c r="V98" s="670">
        <v>8</v>
      </c>
      <c r="W98" s="51" t="s">
        <v>50</v>
      </c>
      <c r="X98" s="264" t="s">
        <v>86</v>
      </c>
      <c r="Y98" s="174" t="s">
        <v>51</v>
      </c>
      <c r="Z98" s="174"/>
      <c r="AA98" s="174"/>
      <c r="AB98" s="147"/>
      <c r="AC98" s="98"/>
      <c r="AD98" s="54"/>
      <c r="AE98" s="884" t="s">
        <v>134</v>
      </c>
      <c r="AF98" s="29" t="s">
        <v>1202</v>
      </c>
      <c r="AG98" s="962"/>
    </row>
    <row r="99" spans="1:38" s="93" customFormat="1" ht="42.75" customHeight="1">
      <c r="A99" s="1677"/>
      <c r="B99" s="110"/>
      <c r="C99" s="153"/>
      <c r="D99" s="153"/>
      <c r="E99" s="109"/>
      <c r="F99" s="31"/>
      <c r="G99" s="432"/>
      <c r="H99" s="433"/>
      <c r="I99" s="1687"/>
      <c r="J99" s="44" t="s">
        <v>41</v>
      </c>
      <c r="K99" s="1340" t="s">
        <v>1216</v>
      </c>
      <c r="L99" s="1341" t="s">
        <v>1217</v>
      </c>
      <c r="M99" s="1342" t="s">
        <v>1218</v>
      </c>
      <c r="N99" s="435"/>
      <c r="O99" s="669" t="s">
        <v>46</v>
      </c>
      <c r="P99" s="669" t="s">
        <v>40</v>
      </c>
      <c r="Q99" s="125" t="s">
        <v>1219</v>
      </c>
      <c r="R99" s="669" t="s">
        <v>40</v>
      </c>
      <c r="S99" s="297" t="s">
        <v>1220</v>
      </c>
      <c r="T99" s="125">
        <v>16</v>
      </c>
      <c r="U99" s="117">
        <v>120</v>
      </c>
      <c r="V99" s="226">
        <v>4</v>
      </c>
      <c r="W99" s="1203" t="s">
        <v>50</v>
      </c>
      <c r="X99" s="436" t="s">
        <v>50</v>
      </c>
      <c r="Y99" s="38" t="s">
        <v>51</v>
      </c>
      <c r="Z99" s="38" t="s">
        <v>52</v>
      </c>
      <c r="AA99" s="38" t="s">
        <v>52</v>
      </c>
      <c r="AB99" s="142"/>
      <c r="AC99" s="97"/>
      <c r="AD99" s="119" t="s">
        <v>40</v>
      </c>
      <c r="AE99" s="1200" t="s">
        <v>134</v>
      </c>
      <c r="AF99" s="29" t="s">
        <v>1005</v>
      </c>
      <c r="AG99" s="1204" t="s">
        <v>46</v>
      </c>
    </row>
    <row r="100" spans="1:38" s="93" customFormat="1" ht="60" customHeight="1">
      <c r="A100" s="1677"/>
      <c r="B100"/>
      <c r="C100" s="109"/>
      <c r="D100" s="109"/>
      <c r="E100" s="109"/>
      <c r="F100" s="109"/>
      <c r="G100" s="109"/>
      <c r="H100" s="109"/>
      <c r="I100" s="1687"/>
      <c r="J100" s="44" t="s">
        <v>41</v>
      </c>
      <c r="K100" s="116" t="s">
        <v>1221</v>
      </c>
      <c r="L100" s="125" t="s">
        <v>1222</v>
      </c>
      <c r="M100" s="298" t="s">
        <v>1223</v>
      </c>
      <c r="N100" s="297"/>
      <c r="O100" s="654" t="s">
        <v>40</v>
      </c>
      <c r="P100" s="654" t="s">
        <v>46</v>
      </c>
      <c r="Q100" s="125" t="s">
        <v>1224</v>
      </c>
      <c r="R100" s="654" t="s">
        <v>40</v>
      </c>
      <c r="S100" s="125" t="s">
        <v>1040</v>
      </c>
      <c r="T100" s="390">
        <v>16</v>
      </c>
      <c r="U100" s="125">
        <v>500</v>
      </c>
      <c r="V100" s="117">
        <v>6</v>
      </c>
      <c r="W100" s="630" t="s">
        <v>50</v>
      </c>
      <c r="X100" s="158" t="s">
        <v>86</v>
      </c>
      <c r="Y100" s="38" t="s">
        <v>51</v>
      </c>
      <c r="Z100" s="38" t="s">
        <v>181</v>
      </c>
      <c r="AA100" s="38" t="s">
        <v>341</v>
      </c>
      <c r="AB100" s="144"/>
      <c r="AC100" s="29"/>
      <c r="AD100" s="119" t="s">
        <v>40</v>
      </c>
      <c r="AE100" s="1200" t="s">
        <v>134</v>
      </c>
      <c r="AF100" s="29" t="s">
        <v>1202</v>
      </c>
      <c r="AG100" s="1204">
        <v>189</v>
      </c>
    </row>
    <row r="101" spans="1:38" s="93" customFormat="1" ht="83.25" customHeight="1">
      <c r="A101" s="1677"/>
      <c r="B101"/>
      <c r="C101" s="109"/>
      <c r="D101" s="109"/>
      <c r="E101" s="109"/>
      <c r="F101" s="109"/>
      <c r="G101" s="109"/>
      <c r="H101" s="109"/>
      <c r="I101" s="1687"/>
      <c r="J101" s="44" t="s">
        <v>41</v>
      </c>
      <c r="K101" s="688" t="s">
        <v>1225</v>
      </c>
      <c r="L101" s="125" t="s">
        <v>1226</v>
      </c>
      <c r="M101" s="298" t="s">
        <v>1227</v>
      </c>
      <c r="N101" s="125"/>
      <c r="O101" s="669" t="s">
        <v>46</v>
      </c>
      <c r="P101" s="669" t="s">
        <v>40</v>
      </c>
      <c r="Q101" s="258"/>
      <c r="R101" s="685" t="s">
        <v>40</v>
      </c>
      <c r="S101" s="259" t="s">
        <v>1228</v>
      </c>
      <c r="T101" s="125">
        <v>4</v>
      </c>
      <c r="U101" s="125">
        <v>200</v>
      </c>
      <c r="V101" s="117">
        <v>2</v>
      </c>
      <c r="W101" s="630"/>
      <c r="X101" s="158" t="s">
        <v>86</v>
      </c>
      <c r="Y101" s="38" t="s">
        <v>51</v>
      </c>
      <c r="Z101" s="103" t="s">
        <v>52</v>
      </c>
      <c r="AA101" s="103" t="s">
        <v>52</v>
      </c>
      <c r="AB101" s="53"/>
      <c r="AC101" s="54"/>
      <c r="AD101" s="54" t="s">
        <v>40</v>
      </c>
      <c r="AE101" s="884" t="s">
        <v>134</v>
      </c>
      <c r="AF101" s="111" t="s">
        <v>1229</v>
      </c>
      <c r="AG101" s="1205"/>
    </row>
    <row r="102" spans="1:38" s="93" customFormat="1" ht="25.5" customHeight="1">
      <c r="A102" s="1677"/>
      <c r="B102"/>
      <c r="C102" s="109"/>
      <c r="D102" s="109"/>
      <c r="E102" s="109"/>
      <c r="F102" s="109"/>
      <c r="G102" s="109"/>
      <c r="H102" s="109"/>
      <c r="I102" s="1687"/>
      <c r="J102" s="38" t="s">
        <v>41</v>
      </c>
      <c r="K102" s="688" t="s">
        <v>1230</v>
      </c>
      <c r="L102" s="125" t="s">
        <v>1231</v>
      </c>
      <c r="M102" s="298" t="s">
        <v>1232</v>
      </c>
      <c r="N102" s="125"/>
      <c r="O102" s="654" t="s">
        <v>46</v>
      </c>
      <c r="P102" s="654" t="s">
        <v>40</v>
      </c>
      <c r="Q102" s="297" t="s">
        <v>1032</v>
      </c>
      <c r="R102" s="654" t="s">
        <v>40</v>
      </c>
      <c r="S102" s="437" t="s">
        <v>1233</v>
      </c>
      <c r="T102" s="298">
        <v>8</v>
      </c>
      <c r="U102" s="125">
        <v>150</v>
      </c>
      <c r="V102" s="117">
        <v>4</v>
      </c>
      <c r="W102" s="630" t="s">
        <v>50</v>
      </c>
      <c r="X102" s="158" t="s">
        <v>50</v>
      </c>
      <c r="Y102" s="38" t="s">
        <v>51</v>
      </c>
      <c r="Z102" s="103" t="s">
        <v>52</v>
      </c>
      <c r="AA102" s="103" t="s">
        <v>52</v>
      </c>
      <c r="AB102" s="53"/>
      <c r="AC102" s="54"/>
      <c r="AD102" s="54"/>
      <c r="AE102" s="884" t="s">
        <v>134</v>
      </c>
      <c r="AF102" s="29" t="s">
        <v>1229</v>
      </c>
      <c r="AG102" s="1205"/>
    </row>
    <row r="103" spans="1:38" s="93" customFormat="1" ht="91.5" customHeight="1">
      <c r="A103" s="1677"/>
      <c r="B103"/>
      <c r="C103" s="109"/>
      <c r="D103" s="109"/>
      <c r="E103" s="109"/>
      <c r="F103" s="109"/>
      <c r="G103" s="109"/>
      <c r="H103" s="109"/>
      <c r="I103" s="1687"/>
      <c r="J103" s="38" t="s">
        <v>41</v>
      </c>
      <c r="K103" s="688" t="s">
        <v>1234</v>
      </c>
      <c r="L103" s="364" t="s">
        <v>655</v>
      </c>
      <c r="M103" s="298" t="s">
        <v>1235</v>
      </c>
      <c r="N103" s="125" t="s">
        <v>62</v>
      </c>
      <c r="O103" s="654" t="s">
        <v>40</v>
      </c>
      <c r="P103" s="654" t="s">
        <v>46</v>
      </c>
      <c r="Q103" s="297" t="s">
        <v>1236</v>
      </c>
      <c r="R103" s="654" t="s">
        <v>40</v>
      </c>
      <c r="S103" s="735" t="s">
        <v>272</v>
      </c>
      <c r="T103" s="298">
        <v>8</v>
      </c>
      <c r="U103" s="125">
        <f>240+120</f>
        <v>360</v>
      </c>
      <c r="V103" s="117">
        <v>4</v>
      </c>
      <c r="W103" s="630"/>
      <c r="X103" s="158" t="s">
        <v>65</v>
      </c>
      <c r="Y103" s="38" t="s">
        <v>200</v>
      </c>
      <c r="Z103" s="103" t="s">
        <v>52</v>
      </c>
      <c r="AA103" s="103" t="s">
        <v>52</v>
      </c>
      <c r="AB103" s="53"/>
      <c r="AC103" s="54"/>
      <c r="AD103" s="54" t="s">
        <v>40</v>
      </c>
      <c r="AE103" s="884"/>
      <c r="AF103" s="111" t="s">
        <v>997</v>
      </c>
      <c r="AG103" s="1205"/>
    </row>
    <row r="104" spans="1:38" s="93" customFormat="1" ht="48" customHeight="1">
      <c r="A104" s="1677"/>
      <c r="B104" s="109"/>
      <c r="C104" s="109"/>
      <c r="D104" s="109"/>
      <c r="E104" s="109"/>
      <c r="F104" s="109"/>
      <c r="G104" s="109"/>
      <c r="H104" s="109"/>
      <c r="I104" s="1687"/>
      <c r="J104" s="38" t="s">
        <v>41</v>
      </c>
      <c r="K104" s="125" t="s">
        <v>1237</v>
      </c>
      <c r="L104" s="125" t="s">
        <v>1238</v>
      </c>
      <c r="M104" s="1395" t="s">
        <v>1239</v>
      </c>
      <c r="N104" s="125"/>
      <c r="O104" s="654" t="s">
        <v>40</v>
      </c>
      <c r="P104" s="654" t="s">
        <v>46</v>
      </c>
      <c r="Q104" s="297" t="s">
        <v>1240</v>
      </c>
      <c r="R104" s="883" t="s">
        <v>40</v>
      </c>
      <c r="S104" s="125" t="s">
        <v>1040</v>
      </c>
      <c r="T104" s="298">
        <v>16</v>
      </c>
      <c r="U104" s="125">
        <v>500</v>
      </c>
      <c r="V104" s="117">
        <v>4</v>
      </c>
      <c r="W104" s="630"/>
      <c r="X104" s="158" t="s">
        <v>86</v>
      </c>
      <c r="Y104" s="38" t="s">
        <v>51</v>
      </c>
      <c r="Z104" s="38" t="s">
        <v>52</v>
      </c>
      <c r="AA104" s="38" t="s">
        <v>52</v>
      </c>
      <c r="AB104" s="609"/>
      <c r="AC104" s="181"/>
      <c r="AD104" s="181" t="s">
        <v>40</v>
      </c>
      <c r="AE104" s="1383" t="s">
        <v>134</v>
      </c>
      <c r="AF104" s="29" t="s">
        <v>997</v>
      </c>
      <c r="AG104" s="1205" t="s">
        <v>46</v>
      </c>
    </row>
    <row r="105" spans="1:38" ht="12" customHeight="1">
      <c r="A105" s="1677"/>
      <c r="B105" s="31"/>
      <c r="H105" s="109"/>
      <c r="I105" s="1687"/>
      <c r="J105" s="38" t="s">
        <v>41</v>
      </c>
      <c r="K105" s="118" t="s">
        <v>1241</v>
      </c>
      <c r="L105" s="99" t="s">
        <v>1242</v>
      </c>
      <c r="M105" s="99" t="s">
        <v>1243</v>
      </c>
      <c r="N105" s="99" t="s">
        <v>1244</v>
      </c>
      <c r="O105" s="654" t="s">
        <v>46</v>
      </c>
      <c r="P105" s="654" t="s">
        <v>40</v>
      </c>
      <c r="Q105" s="1532" t="s">
        <v>850</v>
      </c>
      <c r="R105" s="644" t="s">
        <v>40</v>
      </c>
      <c r="S105" s="99" t="s">
        <v>899</v>
      </c>
      <c r="T105" s="107">
        <v>18</v>
      </c>
      <c r="U105" s="105">
        <v>450</v>
      </c>
      <c r="V105" s="105">
        <v>12</v>
      </c>
      <c r="W105" s="480"/>
      <c r="X105" s="123" t="s">
        <v>50</v>
      </c>
      <c r="Y105" s="38" t="s">
        <v>51</v>
      </c>
      <c r="Z105" s="103" t="s">
        <v>52</v>
      </c>
      <c r="AA105" s="103" t="s">
        <v>52</v>
      </c>
      <c r="AB105" s="142"/>
      <c r="AC105" s="97"/>
      <c r="AD105" s="29" t="s">
        <v>40</v>
      </c>
      <c r="AE105" s="884" t="s">
        <v>134</v>
      </c>
      <c r="AF105" s="29" t="s">
        <v>1229</v>
      </c>
      <c r="AG105" s="962" t="s">
        <v>46</v>
      </c>
    </row>
    <row r="106" spans="1:38" ht="12" customHeight="1">
      <c r="A106" s="1677"/>
      <c r="B106" s="31"/>
      <c r="H106" s="109"/>
      <c r="I106" s="1687"/>
      <c r="J106" s="38" t="s">
        <v>41</v>
      </c>
      <c r="K106" s="118" t="s">
        <v>1245</v>
      </c>
      <c r="L106" s="99" t="s">
        <v>1246</v>
      </c>
      <c r="M106" s="99" t="s">
        <v>1247</v>
      </c>
      <c r="N106" s="99"/>
      <c r="O106" s="654" t="s">
        <v>46</v>
      </c>
      <c r="P106" s="654" t="s">
        <v>40</v>
      </c>
      <c r="Q106" s="59" t="s">
        <v>1079</v>
      </c>
      <c r="R106" s="644" t="s">
        <v>40</v>
      </c>
      <c r="S106" s="102" t="s">
        <v>899</v>
      </c>
      <c r="T106" s="671">
        <v>8</v>
      </c>
      <c r="U106" s="220">
        <v>100</v>
      </c>
      <c r="V106" s="220">
        <v>4</v>
      </c>
      <c r="W106" s="859" t="s">
        <v>65</v>
      </c>
      <c r="X106" s="123" t="s">
        <v>86</v>
      </c>
      <c r="Y106" s="38" t="s">
        <v>200</v>
      </c>
      <c r="Z106" s="103" t="s">
        <v>229</v>
      </c>
      <c r="AA106" s="103" t="s">
        <v>1081</v>
      </c>
      <c r="AB106" s="142"/>
      <c r="AC106" s="97"/>
      <c r="AD106" s="54" t="s">
        <v>40</v>
      </c>
      <c r="AE106" s="884" t="s">
        <v>134</v>
      </c>
      <c r="AF106" s="29" t="s">
        <v>1028</v>
      </c>
      <c r="AG106" s="963" t="s">
        <v>46</v>
      </c>
    </row>
    <row r="107" spans="1:38" ht="12" customHeight="1">
      <c r="A107" s="1677"/>
      <c r="B107" s="31"/>
      <c r="H107" s="109"/>
      <c r="I107" s="1687"/>
      <c r="J107" s="38" t="s">
        <v>41</v>
      </c>
      <c r="K107" s="118" t="s">
        <v>1248</v>
      </c>
      <c r="L107" s="99" t="s">
        <v>1249</v>
      </c>
      <c r="M107" s="99" t="s">
        <v>1250</v>
      </c>
      <c r="N107" s="99"/>
      <c r="O107" s="654" t="s">
        <v>46</v>
      </c>
      <c r="P107" s="654" t="s">
        <v>345</v>
      </c>
      <c r="Q107" s="59" t="s">
        <v>1079</v>
      </c>
      <c r="R107" s="644" t="s">
        <v>40</v>
      </c>
      <c r="S107" s="102" t="s">
        <v>899</v>
      </c>
      <c r="T107" s="671">
        <v>8</v>
      </c>
      <c r="U107" s="220">
        <v>80</v>
      </c>
      <c r="V107" s="220">
        <v>4</v>
      </c>
      <c r="W107" s="859" t="s">
        <v>65</v>
      </c>
      <c r="X107" s="123" t="s">
        <v>86</v>
      </c>
      <c r="Y107" s="38" t="s">
        <v>200</v>
      </c>
      <c r="Z107" s="103" t="s">
        <v>229</v>
      </c>
      <c r="AA107" s="103" t="s">
        <v>1081</v>
      </c>
      <c r="AB107" s="142"/>
      <c r="AC107" s="97"/>
      <c r="AD107" s="54" t="s">
        <v>40</v>
      </c>
      <c r="AE107" s="884" t="s">
        <v>134</v>
      </c>
      <c r="AF107" s="29" t="s">
        <v>1028</v>
      </c>
      <c r="AG107" s="963" t="s">
        <v>46</v>
      </c>
    </row>
    <row r="108" spans="1:38" ht="12" customHeight="1">
      <c r="A108" s="1677"/>
      <c r="B108" s="31"/>
      <c r="H108" s="109"/>
      <c r="I108" s="1687"/>
      <c r="J108" s="38" t="s">
        <v>41</v>
      </c>
      <c r="K108" s="118" t="s">
        <v>1251</v>
      </c>
      <c r="L108" s="99" t="s">
        <v>1252</v>
      </c>
      <c r="M108" s="99" t="s">
        <v>1253</v>
      </c>
      <c r="N108" s="99"/>
      <c r="O108" s="654" t="s">
        <v>46</v>
      </c>
      <c r="P108" s="654" t="s">
        <v>40</v>
      </c>
      <c r="Q108" s="102" t="s">
        <v>1254</v>
      </c>
      <c r="R108" s="644" t="s">
        <v>40</v>
      </c>
      <c r="S108" s="102" t="s">
        <v>1255</v>
      </c>
      <c r="T108" s="671">
        <v>16</v>
      </c>
      <c r="U108" s="220">
        <v>75</v>
      </c>
      <c r="V108" s="220">
        <v>4</v>
      </c>
      <c r="W108" s="859" t="s">
        <v>65</v>
      </c>
      <c r="X108" s="123" t="s">
        <v>50</v>
      </c>
      <c r="Y108" s="38" t="s">
        <v>200</v>
      </c>
      <c r="Z108" s="103" t="s">
        <v>52</v>
      </c>
      <c r="AA108" s="103" t="s">
        <v>52</v>
      </c>
      <c r="AB108" s="142"/>
      <c r="AC108" s="97"/>
      <c r="AD108" s="54" t="s">
        <v>40</v>
      </c>
      <c r="AE108" s="884" t="s">
        <v>134</v>
      </c>
      <c r="AF108" s="29" t="s">
        <v>1028</v>
      </c>
      <c r="AG108" s="963" t="s">
        <v>46</v>
      </c>
    </row>
    <row r="109" spans="1:38" ht="12" customHeight="1">
      <c r="A109" s="1677"/>
      <c r="B109" s="31"/>
      <c r="H109" s="109"/>
      <c r="I109" s="1687"/>
      <c r="J109" s="38" t="s">
        <v>41</v>
      </c>
      <c r="K109" s="118" t="s">
        <v>1256</v>
      </c>
      <c r="L109" s="99" t="s">
        <v>1257</v>
      </c>
      <c r="M109" s="99" t="s">
        <v>1258</v>
      </c>
      <c r="N109" s="99"/>
      <c r="O109" s="654" t="s">
        <v>46</v>
      </c>
      <c r="P109" s="654" t="s">
        <v>40</v>
      </c>
      <c r="Q109" s="102" t="s">
        <v>1254</v>
      </c>
      <c r="R109" s="644" t="s">
        <v>40</v>
      </c>
      <c r="S109" s="102" t="s">
        <v>1255</v>
      </c>
      <c r="T109" s="671">
        <v>16</v>
      </c>
      <c r="U109" s="220">
        <v>75</v>
      </c>
      <c r="V109" s="220">
        <v>4</v>
      </c>
      <c r="W109" s="859" t="s">
        <v>65</v>
      </c>
      <c r="X109" s="123" t="s">
        <v>50</v>
      </c>
      <c r="Y109" s="38" t="s">
        <v>200</v>
      </c>
      <c r="Z109" s="103" t="s">
        <v>52</v>
      </c>
      <c r="AA109" s="103" t="s">
        <v>52</v>
      </c>
      <c r="AB109" s="142"/>
      <c r="AC109" s="97"/>
      <c r="AD109" s="54" t="s">
        <v>40</v>
      </c>
      <c r="AE109" s="884" t="s">
        <v>134</v>
      </c>
      <c r="AF109" s="29" t="s">
        <v>1028</v>
      </c>
      <c r="AG109" s="963" t="s">
        <v>46</v>
      </c>
    </row>
    <row r="110" spans="1:38" ht="12" customHeight="1">
      <c r="A110" s="1677"/>
      <c r="B110" s="31"/>
      <c r="H110" s="109"/>
      <c r="I110" s="1687"/>
      <c r="J110" s="38" t="s">
        <v>41</v>
      </c>
      <c r="K110" s="118" t="s">
        <v>1259</v>
      </c>
      <c r="L110" s="99" t="s">
        <v>1260</v>
      </c>
      <c r="M110" s="99" t="s">
        <v>1261</v>
      </c>
      <c r="N110" s="99"/>
      <c r="O110" s="654" t="s">
        <v>46</v>
      </c>
      <c r="P110" s="654" t="s">
        <v>40</v>
      </c>
      <c r="Q110" s="59" t="s">
        <v>1079</v>
      </c>
      <c r="R110" s="644" t="s">
        <v>40</v>
      </c>
      <c r="S110" s="102" t="s">
        <v>1255</v>
      </c>
      <c r="T110" s="671">
        <v>16</v>
      </c>
      <c r="U110" s="220">
        <v>90</v>
      </c>
      <c r="V110" s="220">
        <v>4</v>
      </c>
      <c r="W110" s="859" t="s">
        <v>65</v>
      </c>
      <c r="X110" s="123" t="s">
        <v>50</v>
      </c>
      <c r="Y110" s="38" t="s">
        <v>200</v>
      </c>
      <c r="Z110" s="103" t="s">
        <v>52</v>
      </c>
      <c r="AA110" s="103" t="s">
        <v>52</v>
      </c>
      <c r="AB110" s="142"/>
      <c r="AC110" s="97"/>
      <c r="AD110" s="54" t="s">
        <v>40</v>
      </c>
      <c r="AE110" s="884" t="s">
        <v>134</v>
      </c>
      <c r="AF110" s="29" t="s">
        <v>1028</v>
      </c>
      <c r="AG110" s="963" t="s">
        <v>46</v>
      </c>
    </row>
    <row r="111" spans="1:38" ht="12" customHeight="1">
      <c r="A111" s="1677"/>
      <c r="B111" s="31"/>
      <c r="H111" s="109"/>
      <c r="I111" s="1687"/>
      <c r="J111" s="38" t="s">
        <v>41</v>
      </c>
      <c r="K111" s="118" t="s">
        <v>1262</v>
      </c>
      <c r="L111" s="99" t="s">
        <v>1263</v>
      </c>
      <c r="M111" s="99" t="s">
        <v>1264</v>
      </c>
      <c r="N111" s="99" t="s">
        <v>1265</v>
      </c>
      <c r="O111" s="654" t="s">
        <v>46</v>
      </c>
      <c r="P111" s="654" t="s">
        <v>40</v>
      </c>
      <c r="Q111" s="102" t="s">
        <v>1254</v>
      </c>
      <c r="R111" s="644" t="s">
        <v>40</v>
      </c>
      <c r="S111" s="102" t="s">
        <v>1255</v>
      </c>
      <c r="T111" s="671">
        <v>32</v>
      </c>
      <c r="U111" s="220">
        <v>220</v>
      </c>
      <c r="V111" s="220">
        <v>4</v>
      </c>
      <c r="W111" s="859" t="s">
        <v>65</v>
      </c>
      <c r="X111" s="123" t="s">
        <v>50</v>
      </c>
      <c r="Y111" s="38" t="s">
        <v>200</v>
      </c>
      <c r="Z111" s="103" t="s">
        <v>52</v>
      </c>
      <c r="AA111" s="103" t="s">
        <v>52</v>
      </c>
      <c r="AB111" s="142"/>
      <c r="AC111" s="97"/>
      <c r="AD111" s="54" t="s">
        <v>40</v>
      </c>
      <c r="AE111" s="884" t="s">
        <v>134</v>
      </c>
      <c r="AF111" s="29" t="s">
        <v>1005</v>
      </c>
      <c r="AG111" s="963" t="s">
        <v>46</v>
      </c>
    </row>
    <row r="112" spans="1:38" ht="26.25" customHeight="1">
      <c r="A112" s="1677"/>
      <c r="C112" s="114"/>
      <c r="D112" s="114"/>
      <c r="E112" s="114"/>
      <c r="F112" s="114"/>
      <c r="G112" s="114"/>
      <c r="H112" s="114"/>
      <c r="I112" s="1687"/>
      <c r="J112" s="38" t="s">
        <v>41</v>
      </c>
      <c r="K112" s="118" t="s">
        <v>1266</v>
      </c>
      <c r="L112" s="99" t="s">
        <v>1267</v>
      </c>
      <c r="M112" s="1396" t="s">
        <v>1268</v>
      </c>
      <c r="N112" s="99"/>
      <c r="O112" s="654" t="s">
        <v>40</v>
      </c>
      <c r="P112" s="654" t="s">
        <v>46</v>
      </c>
      <c r="Q112" s="101" t="s">
        <v>239</v>
      </c>
      <c r="R112" s="644" t="s">
        <v>40</v>
      </c>
      <c r="S112" s="126" t="s">
        <v>1040</v>
      </c>
      <c r="T112" s="126">
        <v>16</v>
      </c>
      <c r="U112" s="126">
        <v>500</v>
      </c>
      <c r="V112" s="126">
        <v>4</v>
      </c>
      <c r="W112" s="211" t="s">
        <v>50</v>
      </c>
      <c r="X112" s="123" t="s">
        <v>50</v>
      </c>
      <c r="Y112" s="38" t="s">
        <v>200</v>
      </c>
      <c r="Z112" s="103" t="s">
        <v>52</v>
      </c>
      <c r="AA112" s="103" t="s">
        <v>52</v>
      </c>
      <c r="AB112" s="144"/>
      <c r="AC112" s="29"/>
      <c r="AD112" s="54" t="s">
        <v>40</v>
      </c>
      <c r="AE112" s="884" t="s">
        <v>134</v>
      </c>
      <c r="AF112" s="29" t="s">
        <v>1202</v>
      </c>
      <c r="AG112" s="963" t="s">
        <v>46</v>
      </c>
      <c r="AH112" s="114"/>
      <c r="AI112" s="114"/>
      <c r="AJ112" s="114"/>
      <c r="AK112" s="114"/>
      <c r="AL112" s="114"/>
    </row>
    <row r="113" spans="1:38" ht="26.25" customHeight="1">
      <c r="A113" s="1677"/>
      <c r="I113" s="1687"/>
      <c r="J113" s="44" t="s">
        <v>41</v>
      </c>
      <c r="K113" s="776" t="s">
        <v>1269</v>
      </c>
      <c r="L113" s="51" t="s">
        <v>1270</v>
      </c>
      <c r="M113" s="51" t="s">
        <v>1271</v>
      </c>
      <c r="N113" s="51"/>
      <c r="O113" s="654" t="s">
        <v>46</v>
      </c>
      <c r="P113" s="654" t="s">
        <v>40</v>
      </c>
      <c r="Q113" s="1532" t="s">
        <v>850</v>
      </c>
      <c r="R113" s="654" t="s">
        <v>40</v>
      </c>
      <c r="S113" s="99" t="s">
        <v>769</v>
      </c>
      <c r="T113" s="486">
        <v>16</v>
      </c>
      <c r="U113" s="486">
        <v>600</v>
      </c>
      <c r="V113" s="486">
        <v>4</v>
      </c>
      <c r="W113" s="803"/>
      <c r="X113" s="123" t="s">
        <v>50</v>
      </c>
      <c r="Y113" s="38" t="s">
        <v>51</v>
      </c>
      <c r="Z113" s="103" t="s">
        <v>52</v>
      </c>
      <c r="AA113" s="103" t="s">
        <v>52</v>
      </c>
      <c r="AB113" s="142"/>
      <c r="AC113" s="97"/>
      <c r="AD113" s="29" t="s">
        <v>40</v>
      </c>
      <c r="AE113" s="884" t="s">
        <v>134</v>
      </c>
      <c r="AF113" s="29" t="s">
        <v>1064</v>
      </c>
      <c r="AG113" s="962" t="s">
        <v>46</v>
      </c>
    </row>
    <row r="114" spans="1:38" s="93" customFormat="1" ht="25.5" customHeight="1">
      <c r="A114" s="1677"/>
      <c r="B114"/>
      <c r="C114" s="109"/>
      <c r="D114" s="109"/>
      <c r="E114" s="109"/>
      <c r="F114" s="109"/>
      <c r="G114" s="109"/>
      <c r="H114" s="109"/>
      <c r="I114" s="1687"/>
      <c r="J114" s="38" t="s">
        <v>41</v>
      </c>
      <c r="K114" s="688" t="s">
        <v>1272</v>
      </c>
      <c r="L114" s="125" t="s">
        <v>307</v>
      </c>
      <c r="M114" s="298" t="s">
        <v>1273</v>
      </c>
      <c r="N114" s="125"/>
      <c r="O114" s="654" t="s">
        <v>46</v>
      </c>
      <c r="P114" s="654" t="s">
        <v>40</v>
      </c>
      <c r="Q114" s="1532" t="s">
        <v>850</v>
      </c>
      <c r="R114" s="789" t="s">
        <v>40</v>
      </c>
      <c r="S114" s="483" t="s">
        <v>138</v>
      </c>
      <c r="T114" s="125">
        <v>8</v>
      </c>
      <c r="U114" s="125">
        <v>80</v>
      </c>
      <c r="V114" s="125">
        <v>4</v>
      </c>
      <c r="W114" s="432" t="s">
        <v>50</v>
      </c>
      <c r="X114" s="484" t="s">
        <v>50</v>
      </c>
      <c r="Y114" s="38" t="s">
        <v>51</v>
      </c>
      <c r="Z114" s="38" t="s">
        <v>52</v>
      </c>
      <c r="AA114" s="38" t="s">
        <v>52</v>
      </c>
      <c r="AB114" s="609"/>
      <c r="AC114" s="181"/>
      <c r="AD114" s="181"/>
      <c r="AE114" s="1383" t="s">
        <v>134</v>
      </c>
      <c r="AF114" s="29" t="s">
        <v>907</v>
      </c>
      <c r="AG114" s="1205"/>
    </row>
    <row r="115" spans="1:38" ht="12" customHeight="1">
      <c r="A115" s="1677"/>
      <c r="I115" s="1687"/>
      <c r="J115" s="38" t="s">
        <v>41</v>
      </c>
      <c r="K115" s="118" t="s">
        <v>1274</v>
      </c>
      <c r="L115" s="99" t="s">
        <v>1275</v>
      </c>
      <c r="M115" s="107" t="s">
        <v>1276</v>
      </c>
      <c r="N115" s="105" t="s">
        <v>1277</v>
      </c>
      <c r="O115" s="654" t="s">
        <v>40</v>
      </c>
      <c r="P115" s="654" t="s">
        <v>46</v>
      </c>
      <c r="Q115" s="105" t="s">
        <v>1278</v>
      </c>
      <c r="R115" s="645" t="s">
        <v>40</v>
      </c>
      <c r="S115" s="480" t="s">
        <v>1040</v>
      </c>
      <c r="T115" s="99">
        <v>16</v>
      </c>
      <c r="U115" s="99">
        <v>200</v>
      </c>
      <c r="V115" s="200">
        <v>4</v>
      </c>
      <c r="W115" s="99"/>
      <c r="X115" s="214" t="s">
        <v>50</v>
      </c>
      <c r="Y115" s="38" t="s">
        <v>51</v>
      </c>
      <c r="Z115" s="103" t="s">
        <v>52</v>
      </c>
      <c r="AA115" s="103" t="s">
        <v>52</v>
      </c>
      <c r="AD115" s="29" t="s">
        <v>40</v>
      </c>
      <c r="AE115" s="884" t="s">
        <v>134</v>
      </c>
      <c r="AF115" s="29" t="s">
        <v>1093</v>
      </c>
      <c r="AG115" s="962" t="s">
        <v>46</v>
      </c>
    </row>
    <row r="116" spans="1:38" s="64" customFormat="1" ht="12" customHeight="1">
      <c r="A116" s="1677"/>
      <c r="B116"/>
      <c r="C116"/>
      <c r="D116"/>
      <c r="E116"/>
      <c r="F116"/>
      <c r="G116"/>
      <c r="H116"/>
      <c r="I116" s="1687"/>
      <c r="J116" s="38" t="s">
        <v>41</v>
      </c>
      <c r="K116" s="118" t="s">
        <v>1279</v>
      </c>
      <c r="L116" s="99" t="s">
        <v>1280</v>
      </c>
      <c r="M116" s="131" t="s">
        <v>1281</v>
      </c>
      <c r="N116" s="99"/>
      <c r="O116" s="654" t="s">
        <v>46</v>
      </c>
      <c r="P116" s="654" t="s">
        <v>40</v>
      </c>
      <c r="Q116" s="51" t="s">
        <v>1282</v>
      </c>
      <c r="R116" s="883" t="s">
        <v>40</v>
      </c>
      <c r="S116" s="200" t="s">
        <v>899</v>
      </c>
      <c r="T116" s="99">
        <v>16</v>
      </c>
      <c r="U116" s="99">
        <v>400</v>
      </c>
      <c r="V116" s="200">
        <v>6</v>
      </c>
      <c r="W116" s="99" t="s">
        <v>86</v>
      </c>
      <c r="X116" s="137" t="s">
        <v>86</v>
      </c>
      <c r="Y116" s="38" t="s">
        <v>51</v>
      </c>
      <c r="Z116" s="103" t="s">
        <v>229</v>
      </c>
      <c r="AA116" s="103" t="s">
        <v>1081</v>
      </c>
      <c r="AB116" s="144"/>
      <c r="AC116" s="29"/>
      <c r="AD116" s="29" t="s">
        <v>40</v>
      </c>
      <c r="AE116" s="884" t="s">
        <v>134</v>
      </c>
      <c r="AF116" s="29" t="s">
        <v>1229</v>
      </c>
      <c r="AG116" s="962" t="s">
        <v>46</v>
      </c>
    </row>
    <row r="117" spans="1:38" s="64" customFormat="1" ht="12" customHeight="1">
      <c r="A117" s="1677"/>
      <c r="B117"/>
      <c r="C117"/>
      <c r="D117"/>
      <c r="E117"/>
      <c r="F117"/>
      <c r="G117"/>
      <c r="H117"/>
      <c r="I117" s="1687"/>
      <c r="J117" s="44" t="s">
        <v>41</v>
      </c>
      <c r="K117" s="776" t="s">
        <v>1283</v>
      </c>
      <c r="L117" s="51" t="s">
        <v>1284</v>
      </c>
      <c r="M117" s="55" t="s">
        <v>1285</v>
      </c>
      <c r="N117" s="51"/>
      <c r="O117" s="654" t="s">
        <v>46</v>
      </c>
      <c r="P117" s="654" t="s">
        <v>40</v>
      </c>
      <c r="Q117" s="1532" t="s">
        <v>850</v>
      </c>
      <c r="R117" s="654" t="s">
        <v>40</v>
      </c>
      <c r="S117" s="99" t="s">
        <v>769</v>
      </c>
      <c r="T117" s="56">
        <v>8</v>
      </c>
      <c r="U117" s="56">
        <v>100</v>
      </c>
      <c r="V117" s="56">
        <v>4</v>
      </c>
      <c r="W117" s="617"/>
      <c r="X117" s="122" t="s">
        <v>50</v>
      </c>
      <c r="Y117" s="38" t="s">
        <v>51</v>
      </c>
      <c r="Z117" s="103" t="s">
        <v>52</v>
      </c>
      <c r="AA117" s="103" t="s">
        <v>52</v>
      </c>
      <c r="AB117" s="142"/>
      <c r="AC117" s="134"/>
      <c r="AD117" s="29" t="s">
        <v>40</v>
      </c>
      <c r="AE117" s="884" t="s">
        <v>134</v>
      </c>
      <c r="AF117" s="29" t="s">
        <v>1064</v>
      </c>
      <c r="AG117" s="962" t="s">
        <v>46</v>
      </c>
      <c r="AH117"/>
      <c r="AI117"/>
      <c r="AJ117"/>
      <c r="AK117"/>
      <c r="AL117"/>
    </row>
    <row r="118" spans="1:38" s="64" customFormat="1" ht="12" customHeight="1">
      <c r="A118" s="1677"/>
      <c r="B118"/>
      <c r="C118"/>
      <c r="D118"/>
      <c r="E118"/>
      <c r="F118"/>
      <c r="G118"/>
      <c r="H118" s="109"/>
      <c r="I118" s="1687"/>
      <c r="J118" s="38" t="s">
        <v>41</v>
      </c>
      <c r="K118" s="118" t="s">
        <v>1286</v>
      </c>
      <c r="L118" s="99" t="s">
        <v>1287</v>
      </c>
      <c r="M118" s="671" t="s">
        <v>1288</v>
      </c>
      <c r="N118" s="220" t="s">
        <v>1289</v>
      </c>
      <c r="O118" s="654" t="s">
        <v>46</v>
      </c>
      <c r="P118" s="654" t="s">
        <v>40</v>
      </c>
      <c r="Q118" s="102" t="s">
        <v>1153</v>
      </c>
      <c r="R118" s="644" t="s">
        <v>40</v>
      </c>
      <c r="S118" s="102" t="s">
        <v>769</v>
      </c>
      <c r="T118" s="671">
        <v>16</v>
      </c>
      <c r="U118" s="220">
        <v>120</v>
      </c>
      <c r="V118" s="220">
        <v>4</v>
      </c>
      <c r="W118" s="859" t="s">
        <v>65</v>
      </c>
      <c r="X118" s="123" t="s">
        <v>65</v>
      </c>
      <c r="Y118" s="38" t="s">
        <v>200</v>
      </c>
      <c r="Z118" s="103" t="s">
        <v>52</v>
      </c>
      <c r="AA118" s="103" t="s">
        <v>52</v>
      </c>
      <c r="AB118" s="142"/>
      <c r="AC118" s="97"/>
      <c r="AD118" s="54" t="s">
        <v>40</v>
      </c>
      <c r="AE118" s="54"/>
      <c r="AF118" t="s">
        <v>1290</v>
      </c>
      <c r="AG118" s="967" t="s">
        <v>46</v>
      </c>
      <c r="AH118"/>
      <c r="AI118"/>
      <c r="AJ118"/>
      <c r="AK118"/>
      <c r="AL118"/>
    </row>
    <row r="119" spans="1:38" s="64" customFormat="1" ht="27" customHeight="1">
      <c r="A119" s="1677"/>
      <c r="B119"/>
      <c r="C119"/>
      <c r="D119"/>
      <c r="E119"/>
      <c r="F119"/>
      <c r="G119"/>
      <c r="H119"/>
      <c r="I119" s="1687"/>
      <c r="J119" s="38" t="s">
        <v>41</v>
      </c>
      <c r="K119" s="118" t="s">
        <v>1291</v>
      </c>
      <c r="L119" s="99" t="s">
        <v>1292</v>
      </c>
      <c r="M119" s="132" t="s">
        <v>1293</v>
      </c>
      <c r="N119" s="112" t="s">
        <v>1294</v>
      </c>
      <c r="O119" s="883" t="s">
        <v>46</v>
      </c>
      <c r="P119" s="883" t="s">
        <v>345</v>
      </c>
      <c r="Q119" s="131" t="s">
        <v>1295</v>
      </c>
      <c r="R119" s="644" t="s">
        <v>40</v>
      </c>
      <c r="S119" s="132" t="s">
        <v>808</v>
      </c>
      <c r="T119" s="112">
        <v>6</v>
      </c>
      <c r="U119" s="112">
        <v>50</v>
      </c>
      <c r="V119" s="59">
        <v>2</v>
      </c>
      <c r="W119" s="102" t="s">
        <v>86</v>
      </c>
      <c r="X119" s="120" t="s">
        <v>86</v>
      </c>
      <c r="Y119" s="38" t="s">
        <v>51</v>
      </c>
      <c r="Z119" s="103" t="s">
        <v>229</v>
      </c>
      <c r="AA119" s="103" t="s">
        <v>1081</v>
      </c>
      <c r="AB119" s="146"/>
      <c r="AC119" s="111"/>
      <c r="AD119" s="29" t="s">
        <v>40</v>
      </c>
      <c r="AE119" s="884" t="s">
        <v>134</v>
      </c>
      <c r="AF119" s="29" t="s">
        <v>1229</v>
      </c>
      <c r="AG119" s="962" t="s">
        <v>46</v>
      </c>
    </row>
    <row r="120" spans="1:38" s="64" customFormat="1" ht="27" customHeight="1">
      <c r="A120" s="1677"/>
      <c r="B120"/>
      <c r="C120"/>
      <c r="D120"/>
      <c r="E120"/>
      <c r="F120"/>
      <c r="G120"/>
      <c r="H120"/>
      <c r="I120" s="1687"/>
      <c r="J120" s="38" t="s">
        <v>41</v>
      </c>
      <c r="K120" s="118" t="s">
        <v>1296</v>
      </c>
      <c r="L120" s="200" t="s">
        <v>1297</v>
      </c>
      <c r="M120" s="99" t="s">
        <v>1298</v>
      </c>
      <c r="N120" s="200"/>
      <c r="O120" s="644" t="s">
        <v>48</v>
      </c>
      <c r="P120" s="654" t="s">
        <v>48</v>
      </c>
      <c r="Q120" s="130" t="s">
        <v>1299</v>
      </c>
      <c r="R120" s="644" t="s">
        <v>40</v>
      </c>
      <c r="S120" s="99" t="s">
        <v>1300</v>
      </c>
      <c r="T120" s="99">
        <v>16</v>
      </c>
      <c r="U120" s="99">
        <v>500</v>
      </c>
      <c r="V120" s="59">
        <v>12</v>
      </c>
      <c r="W120" s="102" t="s">
        <v>86</v>
      </c>
      <c r="X120" s="120" t="s">
        <v>86</v>
      </c>
      <c r="Y120" s="38" t="s">
        <v>51</v>
      </c>
      <c r="Z120" s="103" t="s">
        <v>52</v>
      </c>
      <c r="AA120" s="141" t="s">
        <v>52</v>
      </c>
      <c r="AB120" s="111"/>
      <c r="AC120" s="111"/>
      <c r="AD120" s="29" t="s">
        <v>40</v>
      </c>
      <c r="AE120" s="884" t="s">
        <v>134</v>
      </c>
      <c r="AF120" s="29" t="s">
        <v>871</v>
      </c>
      <c r="AG120" s="962"/>
    </row>
    <row r="121" spans="1:38" ht="12" customHeight="1">
      <c r="A121" s="1677"/>
      <c r="I121" s="1687"/>
      <c r="J121" s="38" t="s">
        <v>41</v>
      </c>
      <c r="K121" s="118" t="s">
        <v>1301</v>
      </c>
      <c r="L121" s="828" t="s">
        <v>1302</v>
      </c>
      <c r="M121" s="101" t="s">
        <v>1303</v>
      </c>
      <c r="N121" s="126" t="s">
        <v>1304</v>
      </c>
      <c r="O121" s="789" t="s">
        <v>40</v>
      </c>
      <c r="P121" s="789" t="s">
        <v>46</v>
      </c>
      <c r="Q121" s="101" t="s">
        <v>1305</v>
      </c>
      <c r="R121" s="644" t="s">
        <v>40</v>
      </c>
      <c r="S121" s="126" t="s">
        <v>1040</v>
      </c>
      <c r="T121" s="126">
        <v>16</v>
      </c>
      <c r="U121" s="126">
        <v>200</v>
      </c>
      <c r="V121" s="92">
        <v>4</v>
      </c>
      <c r="W121" s="136" t="s">
        <v>50</v>
      </c>
      <c r="X121" s="123" t="s">
        <v>50</v>
      </c>
      <c r="Y121" s="38" t="s">
        <v>51</v>
      </c>
      <c r="Z121" s="103" t="s">
        <v>52</v>
      </c>
      <c r="AA121" s="141" t="s">
        <v>52</v>
      </c>
      <c r="AB121" s="29"/>
      <c r="AC121" s="29"/>
      <c r="AD121" s="144" t="s">
        <v>40</v>
      </c>
      <c r="AE121" s="884" t="s">
        <v>134</v>
      </c>
      <c r="AF121" s="29" t="s">
        <v>1093</v>
      </c>
      <c r="AG121" s="962" t="s">
        <v>46</v>
      </c>
    </row>
    <row r="122" spans="1:38" ht="12" customHeight="1">
      <c r="A122" s="1677"/>
      <c r="I122" s="1687"/>
      <c r="J122" s="38" t="s">
        <v>41</v>
      </c>
      <c r="K122" s="118" t="s">
        <v>1306</v>
      </c>
      <c r="L122" s="99" t="s">
        <v>1307</v>
      </c>
      <c r="M122" s="59" t="s">
        <v>1308</v>
      </c>
      <c r="N122" s="92"/>
      <c r="O122" s="654" t="s">
        <v>46</v>
      </c>
      <c r="P122" s="654" t="s">
        <v>40</v>
      </c>
      <c r="Q122" s="59" t="s">
        <v>1219</v>
      </c>
      <c r="R122" s="644" t="s">
        <v>40</v>
      </c>
      <c r="S122" s="92" t="s">
        <v>1255</v>
      </c>
      <c r="T122" s="92">
        <v>32</v>
      </c>
      <c r="U122" s="92">
        <v>150</v>
      </c>
      <c r="V122" s="92">
        <v>8</v>
      </c>
      <c r="W122" s="136" t="s">
        <v>50</v>
      </c>
      <c r="X122" s="123" t="s">
        <v>50</v>
      </c>
      <c r="Y122" s="38" t="s">
        <v>51</v>
      </c>
      <c r="Z122" s="103" t="s">
        <v>52</v>
      </c>
      <c r="AA122" s="141" t="s">
        <v>52</v>
      </c>
      <c r="AB122" s="29"/>
      <c r="AC122" s="29"/>
      <c r="AD122" s="144" t="s">
        <v>40</v>
      </c>
      <c r="AE122" s="884" t="s">
        <v>134</v>
      </c>
      <c r="AF122" s="29" t="s">
        <v>1309</v>
      </c>
      <c r="AG122" s="962" t="s">
        <v>46</v>
      </c>
    </row>
    <row r="123" spans="1:38" s="64" customFormat="1" ht="12" customHeight="1">
      <c r="A123" s="1677"/>
      <c r="B123"/>
      <c r="C123"/>
      <c r="D123"/>
      <c r="E123"/>
      <c r="F123"/>
      <c r="G123"/>
      <c r="H123"/>
      <c r="I123" s="1687"/>
      <c r="J123" s="38" t="s">
        <v>41</v>
      </c>
      <c r="K123" s="118" t="s">
        <v>1310</v>
      </c>
      <c r="L123" s="99" t="s">
        <v>1311</v>
      </c>
      <c r="M123" s="131" t="s">
        <v>1312</v>
      </c>
      <c r="N123" s="99"/>
      <c r="O123" s="654" t="s">
        <v>46</v>
      </c>
      <c r="P123" s="654" t="s">
        <v>40</v>
      </c>
      <c r="Q123" s="59" t="s">
        <v>1219</v>
      </c>
      <c r="R123" s="644" t="s">
        <v>40</v>
      </c>
      <c r="S123" s="99" t="s">
        <v>1255</v>
      </c>
      <c r="T123" s="99">
        <v>32</v>
      </c>
      <c r="U123" s="99">
        <v>150</v>
      </c>
      <c r="V123" s="59">
        <v>8</v>
      </c>
      <c r="W123" s="811" t="s">
        <v>50</v>
      </c>
      <c r="X123" s="120" t="s">
        <v>86</v>
      </c>
      <c r="Y123" s="38" t="s">
        <v>51</v>
      </c>
      <c r="Z123" s="103" t="s">
        <v>52</v>
      </c>
      <c r="AA123" s="103" t="s">
        <v>52</v>
      </c>
      <c r="AB123" s="53"/>
      <c r="AC123" s="54"/>
      <c r="AD123" s="29" t="s">
        <v>40</v>
      </c>
      <c r="AE123" s="884" t="s">
        <v>134</v>
      </c>
      <c r="AF123" s="29" t="s">
        <v>1309</v>
      </c>
      <c r="AG123" s="962" t="s">
        <v>46</v>
      </c>
    </row>
    <row r="124" spans="1:38" s="109" customFormat="1" ht="81" customHeight="1">
      <c r="A124" s="1677"/>
      <c r="I124" s="1687"/>
      <c r="J124" s="38" t="s">
        <v>41</v>
      </c>
      <c r="K124" s="571" t="s">
        <v>1313</v>
      </c>
      <c r="L124" s="125" t="s">
        <v>1314</v>
      </c>
      <c r="M124" s="117" t="s">
        <v>1315</v>
      </c>
      <c r="N124" s="434"/>
      <c r="O124" s="654" t="s">
        <v>46</v>
      </c>
      <c r="P124" s="654" t="s">
        <v>40</v>
      </c>
      <c r="Q124" s="117" t="s">
        <v>1079</v>
      </c>
      <c r="R124" s="644" t="s">
        <v>40</v>
      </c>
      <c r="S124" s="434" t="s">
        <v>1255</v>
      </c>
      <c r="T124" s="434">
        <v>32</v>
      </c>
      <c r="U124" s="434">
        <v>180</v>
      </c>
      <c r="V124" s="434">
        <v>8</v>
      </c>
      <c r="W124" s="630" t="s">
        <v>50</v>
      </c>
      <c r="X124" s="436" t="s">
        <v>50</v>
      </c>
      <c r="Y124" s="38" t="s">
        <v>51</v>
      </c>
      <c r="Z124" s="38" t="s">
        <v>52</v>
      </c>
      <c r="AA124" s="38" t="s">
        <v>52</v>
      </c>
      <c r="AB124" s="567"/>
      <c r="AC124" s="119"/>
      <c r="AD124" s="119" t="s">
        <v>40</v>
      </c>
      <c r="AE124" s="1383" t="s">
        <v>134</v>
      </c>
      <c r="AF124" s="119" t="s">
        <v>1309</v>
      </c>
      <c r="AG124" s="1204" t="s">
        <v>46</v>
      </c>
    </row>
    <row r="125" spans="1:38" s="109" customFormat="1" ht="25.5" customHeight="1">
      <c r="A125" s="1677"/>
      <c r="I125" s="1687"/>
      <c r="J125" s="38" t="s">
        <v>41</v>
      </c>
      <c r="K125" s="571" t="s">
        <v>1316</v>
      </c>
      <c r="L125" s="125" t="s">
        <v>1317</v>
      </c>
      <c r="M125" s="117" t="s">
        <v>1318</v>
      </c>
      <c r="N125" s="434"/>
      <c r="O125" s="654" t="s">
        <v>46</v>
      </c>
      <c r="P125" s="654" t="s">
        <v>40</v>
      </c>
      <c r="Q125" s="59" t="s">
        <v>1079</v>
      </c>
      <c r="R125" s="644" t="s">
        <v>40</v>
      </c>
      <c r="S125" s="434" t="s">
        <v>1255</v>
      </c>
      <c r="T125" s="434">
        <v>32</v>
      </c>
      <c r="U125" s="434">
        <v>180</v>
      </c>
      <c r="V125" s="434">
        <v>8</v>
      </c>
      <c r="W125" s="811" t="s">
        <v>50</v>
      </c>
      <c r="X125" s="436" t="s">
        <v>50</v>
      </c>
      <c r="Y125" s="38" t="s">
        <v>51</v>
      </c>
      <c r="Z125" s="38" t="s">
        <v>52</v>
      </c>
      <c r="AA125" s="38" t="s">
        <v>52</v>
      </c>
      <c r="AB125" s="567"/>
      <c r="AC125" s="119"/>
      <c r="AD125" s="119" t="s">
        <v>40</v>
      </c>
      <c r="AE125" s="1383" t="s">
        <v>134</v>
      </c>
      <c r="AF125" s="29" t="s">
        <v>1309</v>
      </c>
      <c r="AG125" s="1204" t="s">
        <v>46</v>
      </c>
    </row>
    <row r="126" spans="1:38" ht="24.75" customHeight="1">
      <c r="A126" s="1677"/>
      <c r="B126" s="31"/>
      <c r="I126" s="1687"/>
      <c r="J126" s="38" t="s">
        <v>41</v>
      </c>
      <c r="K126" s="118" t="s">
        <v>1319</v>
      </c>
      <c r="L126" s="125" t="s">
        <v>1320</v>
      </c>
      <c r="M126" s="59" t="s">
        <v>1321</v>
      </c>
      <c r="N126" s="92"/>
      <c r="O126" s="654" t="s">
        <v>46</v>
      </c>
      <c r="P126" s="654" t="s">
        <v>40</v>
      </c>
      <c r="Q126" s="59" t="s">
        <v>1079</v>
      </c>
      <c r="R126" s="644" t="s">
        <v>40</v>
      </c>
      <c r="S126" s="92" t="s">
        <v>899</v>
      </c>
      <c r="T126" s="92">
        <v>16</v>
      </c>
      <c r="U126" s="92">
        <v>150</v>
      </c>
      <c r="V126" s="92">
        <v>8</v>
      </c>
      <c r="W126" s="811" t="s">
        <v>50</v>
      </c>
      <c r="X126" s="123" t="s">
        <v>50</v>
      </c>
      <c r="Y126" s="38" t="s">
        <v>51</v>
      </c>
      <c r="Z126" s="103" t="s">
        <v>229</v>
      </c>
      <c r="AA126" s="103" t="s">
        <v>1081</v>
      </c>
      <c r="AB126" s="142"/>
      <c r="AC126" s="97"/>
      <c r="AD126" s="29" t="s">
        <v>40</v>
      </c>
      <c r="AE126" s="884" t="s">
        <v>134</v>
      </c>
      <c r="AF126" s="29" t="s">
        <v>1309</v>
      </c>
      <c r="AG126" s="962" t="s">
        <v>46</v>
      </c>
    </row>
    <row r="127" spans="1:38" s="64" customFormat="1" ht="27.75" customHeight="1">
      <c r="A127" s="1677"/>
      <c r="B127"/>
      <c r="C127"/>
      <c r="D127"/>
      <c r="E127"/>
      <c r="F127"/>
      <c r="G127"/>
      <c r="H127"/>
      <c r="I127" s="1687"/>
      <c r="J127" s="38" t="s">
        <v>41</v>
      </c>
      <c r="K127" s="118" t="s">
        <v>1322</v>
      </c>
      <c r="L127" s="125" t="s">
        <v>1323</v>
      </c>
      <c r="M127" s="131" t="s">
        <v>1324</v>
      </c>
      <c r="O127" s="654" t="s">
        <v>46</v>
      </c>
      <c r="P127" s="654" t="s">
        <v>40</v>
      </c>
      <c r="Q127" s="59" t="s">
        <v>1079</v>
      </c>
      <c r="R127" s="644" t="s">
        <v>40</v>
      </c>
      <c r="S127" s="99" t="s">
        <v>899</v>
      </c>
      <c r="T127" s="99">
        <v>16</v>
      </c>
      <c r="U127" s="99">
        <v>150</v>
      </c>
      <c r="V127" s="59">
        <v>8</v>
      </c>
      <c r="W127" s="811" t="s">
        <v>50</v>
      </c>
      <c r="X127" s="120" t="s">
        <v>86</v>
      </c>
      <c r="Y127" s="38" t="s">
        <v>51</v>
      </c>
      <c r="Z127" s="103" t="s">
        <v>229</v>
      </c>
      <c r="AA127" s="103" t="s">
        <v>1081</v>
      </c>
      <c r="AB127" s="144"/>
      <c r="AC127" s="29"/>
      <c r="AD127" s="29" t="s">
        <v>40</v>
      </c>
      <c r="AE127" s="884" t="s">
        <v>134</v>
      </c>
      <c r="AF127" s="29" t="s">
        <v>1309</v>
      </c>
      <c r="AG127" s="962" t="s">
        <v>46</v>
      </c>
    </row>
    <row r="128" spans="1:38" s="64" customFormat="1" ht="12" customHeight="1">
      <c r="A128" s="1677"/>
      <c r="B128"/>
      <c r="C128"/>
      <c r="D128"/>
      <c r="E128"/>
      <c r="F128"/>
      <c r="G128"/>
      <c r="H128"/>
      <c r="I128" s="1687"/>
      <c r="J128" s="38" t="s">
        <v>41</v>
      </c>
      <c r="K128" s="118" t="s">
        <v>1325</v>
      </c>
      <c r="L128" s="99" t="s">
        <v>1326</v>
      </c>
      <c r="M128" s="59" t="s">
        <v>1327</v>
      </c>
      <c r="N128" s="99"/>
      <c r="O128" s="654" t="s">
        <v>46</v>
      </c>
      <c r="P128" s="654" t="s">
        <v>40</v>
      </c>
      <c r="Q128" s="59" t="s">
        <v>1328</v>
      </c>
      <c r="R128" s="644" t="s">
        <v>40</v>
      </c>
      <c r="S128" s="105" t="s">
        <v>1255</v>
      </c>
      <c r="T128" s="105">
        <v>32</v>
      </c>
      <c r="U128" s="105">
        <v>150</v>
      </c>
      <c r="V128" s="105">
        <v>8</v>
      </c>
      <c r="W128" s="811" t="s">
        <v>50</v>
      </c>
      <c r="X128" s="123" t="s">
        <v>50</v>
      </c>
      <c r="Y128" s="38" t="s">
        <v>51</v>
      </c>
      <c r="Z128" s="103" t="s">
        <v>52</v>
      </c>
      <c r="AA128" s="103" t="s">
        <v>52</v>
      </c>
      <c r="AB128" s="144"/>
      <c r="AC128" s="29"/>
      <c r="AD128" s="29" t="s">
        <v>40</v>
      </c>
      <c r="AE128" s="884" t="s">
        <v>134</v>
      </c>
      <c r="AF128" s="29" t="s">
        <v>1309</v>
      </c>
      <c r="AG128" s="962" t="s">
        <v>46</v>
      </c>
    </row>
    <row r="129" spans="1:38" ht="12" customHeight="1">
      <c r="A129" s="1677"/>
      <c r="B129" s="31"/>
      <c r="I129" s="1687"/>
      <c r="J129" s="38" t="s">
        <v>41</v>
      </c>
      <c r="K129" s="118" t="s">
        <v>1329</v>
      </c>
      <c r="L129" s="99" t="s">
        <v>1330</v>
      </c>
      <c r="M129" s="59" t="s">
        <v>1331</v>
      </c>
      <c r="N129" s="92" t="s">
        <v>1332</v>
      </c>
      <c r="O129" s="654" t="s">
        <v>46</v>
      </c>
      <c r="P129" s="654" t="s">
        <v>40</v>
      </c>
      <c r="Q129" s="59" t="s">
        <v>1328</v>
      </c>
      <c r="R129" s="644" t="s">
        <v>40</v>
      </c>
      <c r="S129" s="99" t="s">
        <v>1255</v>
      </c>
      <c r="T129" s="99">
        <v>64</v>
      </c>
      <c r="U129" s="99">
        <v>300</v>
      </c>
      <c r="V129" s="99">
        <v>8</v>
      </c>
      <c r="W129" s="811" t="s">
        <v>50</v>
      </c>
      <c r="X129" s="214" t="s">
        <v>50</v>
      </c>
      <c r="Y129" s="38" t="s">
        <v>51</v>
      </c>
      <c r="Z129" s="103" t="s">
        <v>52</v>
      </c>
      <c r="AA129" s="103" t="s">
        <v>52</v>
      </c>
      <c r="AB129" s="142"/>
      <c r="AC129" s="97"/>
      <c r="AD129" s="29" t="s">
        <v>40</v>
      </c>
      <c r="AE129" s="884" t="s">
        <v>134</v>
      </c>
      <c r="AF129" s="29" t="s">
        <v>1309</v>
      </c>
      <c r="AG129" s="962" t="s">
        <v>46</v>
      </c>
    </row>
    <row r="130" spans="1:38" s="64" customFormat="1" ht="12" customHeight="1">
      <c r="A130" s="1677"/>
      <c r="B130"/>
      <c r="C130"/>
      <c r="D130"/>
      <c r="E130"/>
      <c r="F130"/>
      <c r="G130"/>
      <c r="H130"/>
      <c r="I130" s="1687"/>
      <c r="J130" s="38" t="s">
        <v>41</v>
      </c>
      <c r="K130" s="118" t="s">
        <v>1333</v>
      </c>
      <c r="L130" s="99" t="s">
        <v>1330</v>
      </c>
      <c r="M130" s="101" t="s">
        <v>1334</v>
      </c>
      <c r="N130" s="126" t="s">
        <v>1335</v>
      </c>
      <c r="O130" s="654" t="s">
        <v>46</v>
      </c>
      <c r="P130" s="654" t="s">
        <v>40</v>
      </c>
      <c r="Q130" s="59" t="s">
        <v>1328</v>
      </c>
      <c r="R130" s="644" t="s">
        <v>40</v>
      </c>
      <c r="S130" s="99" t="s">
        <v>1255</v>
      </c>
      <c r="T130" s="99">
        <v>64</v>
      </c>
      <c r="U130" s="99">
        <v>300</v>
      </c>
      <c r="V130" s="99">
        <v>8</v>
      </c>
      <c r="W130" s="811" t="s">
        <v>50</v>
      </c>
      <c r="X130" s="137" t="s">
        <v>86</v>
      </c>
      <c r="Y130" s="38" t="s">
        <v>51</v>
      </c>
      <c r="Z130" s="103" t="s">
        <v>52</v>
      </c>
      <c r="AA130" s="103" t="s">
        <v>52</v>
      </c>
      <c r="AB130" s="144"/>
      <c r="AC130" s="29"/>
      <c r="AD130" s="29" t="s">
        <v>40</v>
      </c>
      <c r="AE130" s="884" t="s">
        <v>134</v>
      </c>
      <c r="AF130" s="29" t="s">
        <v>1309</v>
      </c>
      <c r="AG130" s="962" t="s">
        <v>46</v>
      </c>
    </row>
    <row r="131" spans="1:38" s="64" customFormat="1" ht="19.5" customHeight="1">
      <c r="A131" s="1677"/>
      <c r="B131"/>
      <c r="C131" s="108"/>
      <c r="D131" s="108"/>
      <c r="E131"/>
      <c r="F131" s="109"/>
      <c r="G131"/>
      <c r="H131"/>
      <c r="I131" s="1687"/>
      <c r="J131" s="38" t="s">
        <v>41</v>
      </c>
      <c r="K131" s="99" t="s">
        <v>1336</v>
      </c>
      <c r="L131" s="200" t="s">
        <v>1337</v>
      </c>
      <c r="M131" s="99" t="s">
        <v>1338</v>
      </c>
      <c r="N131" s="99"/>
      <c r="O131" s="706" t="s">
        <v>40</v>
      </c>
      <c r="P131" s="789" t="s">
        <v>46</v>
      </c>
      <c r="Q131" s="1532" t="s">
        <v>850</v>
      </c>
      <c r="R131" s="644" t="s">
        <v>40</v>
      </c>
      <c r="S131" s="100" t="s">
        <v>1040</v>
      </c>
      <c r="T131" s="99">
        <v>12</v>
      </c>
      <c r="U131" s="99">
        <v>200</v>
      </c>
      <c r="V131" s="99">
        <v>6</v>
      </c>
      <c r="W131" s="102" t="s">
        <v>50</v>
      </c>
      <c r="X131" s="221" t="s">
        <v>50</v>
      </c>
      <c r="Y131" s="38" t="s">
        <v>51</v>
      </c>
      <c r="Z131" s="103" t="s">
        <v>52</v>
      </c>
      <c r="AA131" s="103" t="s">
        <v>52</v>
      </c>
      <c r="AB131" s="147"/>
      <c r="AC131" s="98"/>
      <c r="AD131" s="54" t="s">
        <v>40</v>
      </c>
      <c r="AE131" s="884" t="s">
        <v>134</v>
      </c>
      <c r="AF131" s="29" t="s">
        <v>1093</v>
      </c>
      <c r="AG131" s="962" t="s">
        <v>46</v>
      </c>
    </row>
    <row r="132" spans="1:38" s="64" customFormat="1" ht="19.5" customHeight="1">
      <c r="A132" s="1677"/>
      <c r="B132"/>
      <c r="C132" s="108"/>
      <c r="D132" s="108"/>
      <c r="E132"/>
      <c r="F132" s="109"/>
      <c r="G132"/>
      <c r="H132"/>
      <c r="I132" s="1687"/>
      <c r="J132" s="38" t="s">
        <v>41</v>
      </c>
      <c r="K132" s="99" t="s">
        <v>1339</v>
      </c>
      <c r="L132" s="200" t="s">
        <v>1340</v>
      </c>
      <c r="M132" s="112" t="s">
        <v>1341</v>
      </c>
      <c r="N132" s="111"/>
      <c r="O132" s="706" t="s">
        <v>40</v>
      </c>
      <c r="P132" s="789" t="s">
        <v>46</v>
      </c>
      <c r="Q132" s="1532" t="s">
        <v>850</v>
      </c>
      <c r="R132" s="644" t="s">
        <v>40</v>
      </c>
      <c r="S132" s="126" t="s">
        <v>1040</v>
      </c>
      <c r="T132" s="126">
        <v>8</v>
      </c>
      <c r="U132" s="126">
        <v>200</v>
      </c>
      <c r="V132" s="126">
        <v>4</v>
      </c>
      <c r="W132" s="211" t="s">
        <v>50</v>
      </c>
      <c r="X132" s="121" t="s">
        <v>65</v>
      </c>
      <c r="Y132" s="38" t="s">
        <v>51</v>
      </c>
      <c r="Z132" s="103" t="s">
        <v>52</v>
      </c>
      <c r="AA132" s="103" t="s">
        <v>52</v>
      </c>
      <c r="AB132" s="142"/>
      <c r="AC132" s="97"/>
      <c r="AD132" s="29" t="s">
        <v>40</v>
      </c>
      <c r="AE132" s="88" t="s">
        <v>134</v>
      </c>
      <c r="AF132" s="29" t="s">
        <v>1093</v>
      </c>
      <c r="AG132" s="962" t="s">
        <v>46</v>
      </c>
    </row>
    <row r="133" spans="1:38" s="64" customFormat="1" ht="19.5" customHeight="1">
      <c r="A133" s="1677"/>
      <c r="B133"/>
      <c r="C133"/>
      <c r="D133"/>
      <c r="E133"/>
      <c r="F133"/>
      <c r="G133"/>
      <c r="H133"/>
      <c r="I133" s="1687"/>
      <c r="J133" s="154" t="s">
        <v>41</v>
      </c>
      <c r="K133" s="749" t="s">
        <v>1342</v>
      </c>
      <c r="L133" s="1235" t="s">
        <v>1343</v>
      </c>
      <c r="M133" s="102" t="s">
        <v>1344</v>
      </c>
      <c r="N133" s="766"/>
      <c r="O133" s="768" t="s">
        <v>46</v>
      </c>
      <c r="P133" s="652" t="s">
        <v>40</v>
      </c>
      <c r="Q133" s="100" t="s">
        <v>1219</v>
      </c>
      <c r="R133" s="1231" t="s">
        <v>40</v>
      </c>
      <c r="S133" s="258" t="s">
        <v>899</v>
      </c>
      <c r="T133" s="199">
        <v>2</v>
      </c>
      <c r="U133" s="199">
        <v>50</v>
      </c>
      <c r="V133" s="199">
        <v>2</v>
      </c>
      <c r="W133" s="811" t="s">
        <v>50</v>
      </c>
      <c r="X133" s="491" t="s">
        <v>50</v>
      </c>
      <c r="Y133" s="38" t="s">
        <v>51</v>
      </c>
      <c r="Z133" s="103" t="s">
        <v>52</v>
      </c>
      <c r="AA133" s="103" t="s">
        <v>52</v>
      </c>
      <c r="AB133" s="53"/>
      <c r="AC133" s="54"/>
      <c r="AD133" s="29" t="s">
        <v>40</v>
      </c>
      <c r="AE133" s="88" t="s">
        <v>134</v>
      </c>
      <c r="AF133" s="29" t="s">
        <v>907</v>
      </c>
      <c r="AG133" s="963"/>
    </row>
    <row r="134" spans="1:38" s="64" customFormat="1" ht="19.5" customHeight="1">
      <c r="A134" s="1677"/>
      <c r="B134"/>
      <c r="C134"/>
      <c r="D134"/>
      <c r="E134"/>
      <c r="F134"/>
      <c r="G134"/>
      <c r="H134"/>
      <c r="I134" s="1687"/>
      <c r="J134" s="299" t="s">
        <v>41</v>
      </c>
      <c r="K134" s="118" t="s">
        <v>1345</v>
      </c>
      <c r="L134" s="828" t="s">
        <v>1346</v>
      </c>
      <c r="M134" s="99" t="s">
        <v>1347</v>
      </c>
      <c r="N134" s="1227"/>
      <c r="O134" s="768" t="s">
        <v>46</v>
      </c>
      <c r="P134" s="653" t="s">
        <v>40</v>
      </c>
      <c r="Q134" s="112" t="s">
        <v>1219</v>
      </c>
      <c r="R134" s="1231" t="s">
        <v>40</v>
      </c>
      <c r="S134" s="499" t="s">
        <v>899</v>
      </c>
      <c r="T134" s="99">
        <v>2</v>
      </c>
      <c r="U134" s="99">
        <v>50</v>
      </c>
      <c r="V134" s="99">
        <v>2</v>
      </c>
      <c r="W134" s="811" t="s">
        <v>50</v>
      </c>
      <c r="X134" s="491" t="s">
        <v>50</v>
      </c>
      <c r="Y134" s="38" t="s">
        <v>51</v>
      </c>
      <c r="Z134" s="489" t="s">
        <v>52</v>
      </c>
      <c r="AA134" s="489" t="s">
        <v>52</v>
      </c>
      <c r="AB134" s="197"/>
      <c r="AC134" s="490"/>
      <c r="AD134" s="29" t="s">
        <v>40</v>
      </c>
      <c r="AE134" s="88" t="s">
        <v>134</v>
      </c>
      <c r="AF134" s="29" t="s">
        <v>907</v>
      </c>
      <c r="AG134" s="963"/>
    </row>
    <row r="135" spans="1:38" s="576" customFormat="1" ht="33.75" customHeight="1">
      <c r="A135" s="1677"/>
      <c r="B135" s="109"/>
      <c r="C135" s="570"/>
      <c r="D135" s="570"/>
      <c r="E135" s="570"/>
      <c r="F135" s="109"/>
      <c r="G135" s="570"/>
      <c r="H135" s="570"/>
      <c r="I135" s="1687"/>
      <c r="J135" s="503" t="s">
        <v>41</v>
      </c>
      <c r="K135" s="571" t="s">
        <v>1348</v>
      </c>
      <c r="L135" s="571" t="s">
        <v>1349</v>
      </c>
      <c r="M135" s="572" t="s">
        <v>1350</v>
      </c>
      <c r="N135" s="573"/>
      <c r="O135" s="654" t="s">
        <v>40</v>
      </c>
      <c r="P135" s="883" t="s">
        <v>46</v>
      </c>
      <c r="Q135" s="1343" t="s">
        <v>1351</v>
      </c>
      <c r="R135" s="653" t="s">
        <v>40</v>
      </c>
      <c r="S135" s="1372" t="s">
        <v>1040</v>
      </c>
      <c r="T135" s="571">
        <v>6</v>
      </c>
      <c r="U135" s="571">
        <v>300</v>
      </c>
      <c r="V135" s="571">
        <v>4</v>
      </c>
      <c r="W135" s="811" t="s">
        <v>50</v>
      </c>
      <c r="X135" s="574" t="s">
        <v>50</v>
      </c>
      <c r="Y135" s="38" t="s">
        <v>51</v>
      </c>
      <c r="Z135" s="38" t="s">
        <v>52</v>
      </c>
      <c r="AA135" s="38" t="s">
        <v>52</v>
      </c>
      <c r="AB135" s="567"/>
      <c r="AC135" s="119"/>
      <c r="AD135" s="575" t="s">
        <v>40</v>
      </c>
      <c r="AE135" s="1383" t="s">
        <v>134</v>
      </c>
      <c r="AF135" s="54" t="s">
        <v>1202</v>
      </c>
      <c r="AG135" s="1460" t="s">
        <v>46</v>
      </c>
    </row>
    <row r="136" spans="1:38" s="576" customFormat="1" ht="33.75" customHeight="1">
      <c r="A136" s="1677"/>
      <c r="B136" s="109"/>
      <c r="C136" s="570"/>
      <c r="D136" s="570"/>
      <c r="E136" s="570"/>
      <c r="F136" s="109"/>
      <c r="G136" s="570"/>
      <c r="H136" s="570"/>
      <c r="I136" s="1687"/>
      <c r="J136" s="892" t="s">
        <v>41</v>
      </c>
      <c r="K136" s="571" t="s">
        <v>1352</v>
      </c>
      <c r="L136" s="51" t="s">
        <v>1353</v>
      </c>
      <c r="M136" s="572" t="s">
        <v>1354</v>
      </c>
      <c r="N136" s="572"/>
      <c r="O136" s="654"/>
      <c r="P136" s="883"/>
      <c r="Q136" s="1532" t="s">
        <v>850</v>
      </c>
      <c r="R136" s="644" t="s">
        <v>40</v>
      </c>
      <c r="S136" s="1372" t="s">
        <v>1040</v>
      </c>
      <c r="T136" s="129">
        <v>8</v>
      </c>
      <c r="U136" s="51">
        <v>1024</v>
      </c>
      <c r="V136" s="51">
        <v>6</v>
      </c>
      <c r="W136" s="58"/>
      <c r="X136" s="215" t="s">
        <v>50</v>
      </c>
      <c r="Y136" s="38" t="s">
        <v>51</v>
      </c>
      <c r="Z136" s="38" t="s">
        <v>52</v>
      </c>
      <c r="AA136" s="38" t="s">
        <v>52</v>
      </c>
      <c r="AB136" s="567"/>
      <c r="AC136" s="119"/>
      <c r="AD136" s="575" t="s">
        <v>40</v>
      </c>
      <c r="AE136" s="1383" t="s">
        <v>134</v>
      </c>
      <c r="AF136" s="29" t="s">
        <v>1064</v>
      </c>
      <c r="AG136" s="1460"/>
    </row>
    <row r="137" spans="1:38" s="96" customFormat="1" ht="29.1" customHeight="1">
      <c r="A137" s="1677"/>
      <c r="B137"/>
      <c r="C137" s="115"/>
      <c r="D137" s="115"/>
      <c r="E137" s="115"/>
      <c r="F137"/>
      <c r="G137" s="115"/>
      <c r="H137" s="115"/>
      <c r="I137" s="1687"/>
      <c r="J137" s="154" t="s">
        <v>41</v>
      </c>
      <c r="K137" s="116" t="s">
        <v>1355</v>
      </c>
      <c r="L137" s="116" t="s">
        <v>1356</v>
      </c>
      <c r="M137" s="117" t="s">
        <v>1357</v>
      </c>
      <c r="N137" s="177" t="s">
        <v>1358</v>
      </c>
      <c r="O137" s="654" t="s">
        <v>48</v>
      </c>
      <c r="P137" s="644" t="s">
        <v>48</v>
      </c>
      <c r="Q137" s="1532" t="s">
        <v>850</v>
      </c>
      <c r="R137" s="706" t="s">
        <v>40</v>
      </c>
      <c r="S137" s="179" t="s">
        <v>1359</v>
      </c>
      <c r="T137" s="216">
        <v>16</v>
      </c>
      <c r="U137" s="216">
        <v>20</v>
      </c>
      <c r="V137" s="216">
        <v>4</v>
      </c>
      <c r="W137" s="811" t="s">
        <v>50</v>
      </c>
      <c r="X137" s="180" t="s">
        <v>50</v>
      </c>
      <c r="Y137" s="38" t="s">
        <v>51</v>
      </c>
      <c r="Z137" s="38" t="s">
        <v>52</v>
      </c>
      <c r="AA137" s="38" t="s">
        <v>52</v>
      </c>
      <c r="AB137" s="142" t="s">
        <v>1360</v>
      </c>
      <c r="AC137" s="134" t="s">
        <v>720</v>
      </c>
      <c r="AD137" s="119" t="s">
        <v>40</v>
      </c>
      <c r="AE137" s="884" t="s">
        <v>134</v>
      </c>
      <c r="AF137" s="54" t="s">
        <v>1229</v>
      </c>
      <c r="AG137" s="1204" t="s">
        <v>46</v>
      </c>
    </row>
    <row r="138" spans="1:38" s="64" customFormat="1" ht="12" customHeight="1">
      <c r="A138" s="1677"/>
      <c r="B138"/>
      <c r="C138"/>
      <c r="D138"/>
      <c r="E138"/>
      <c r="F138"/>
      <c r="G138"/>
      <c r="H138"/>
      <c r="I138" s="1687"/>
      <c r="J138" s="38" t="s">
        <v>41</v>
      </c>
      <c r="K138" s="99" t="s">
        <v>1361</v>
      </c>
      <c r="L138" s="99" t="s">
        <v>1362</v>
      </c>
      <c r="M138" s="107" t="s">
        <v>1363</v>
      </c>
      <c r="N138" s="105"/>
      <c r="O138" s="654" t="s">
        <v>40</v>
      </c>
      <c r="P138" s="644" t="s">
        <v>46</v>
      </c>
      <c r="Q138" s="829" t="s">
        <v>84</v>
      </c>
      <c r="R138" s="1231" t="s">
        <v>40</v>
      </c>
      <c r="S138" s="105" t="s">
        <v>1040</v>
      </c>
      <c r="T138" s="105">
        <v>10</v>
      </c>
      <c r="U138" s="105">
        <v>320</v>
      </c>
      <c r="V138" s="105">
        <v>4</v>
      </c>
      <c r="W138" s="811" t="s">
        <v>50</v>
      </c>
      <c r="X138" s="124" t="s">
        <v>86</v>
      </c>
      <c r="Y138" s="38" t="s">
        <v>51</v>
      </c>
      <c r="Z138" s="489" t="s">
        <v>52</v>
      </c>
      <c r="AA138" s="489" t="s">
        <v>52</v>
      </c>
      <c r="AB138" s="146"/>
      <c r="AC138" s="111"/>
      <c r="AD138" s="111"/>
      <c r="AE138" s="1427" t="s">
        <v>134</v>
      </c>
      <c r="AF138" s="54" t="s">
        <v>997</v>
      </c>
      <c r="AG138" s="1459"/>
    </row>
    <row r="139" spans="1:38" s="64" customFormat="1" ht="27.75" customHeight="1">
      <c r="A139" s="1677"/>
      <c r="B139"/>
      <c r="C139"/>
      <c r="D139"/>
      <c r="E139"/>
      <c r="F139"/>
      <c r="G139"/>
      <c r="H139"/>
      <c r="I139" s="1687"/>
      <c r="J139" s="154" t="s">
        <v>41</v>
      </c>
      <c r="K139" s="118" t="s">
        <v>1364</v>
      </c>
      <c r="L139" s="99" t="s">
        <v>1365</v>
      </c>
      <c r="M139" s="132" t="s">
        <v>1366</v>
      </c>
      <c r="N139" s="112"/>
      <c r="O139" s="654" t="s">
        <v>40</v>
      </c>
      <c r="P139" s="644" t="s">
        <v>46</v>
      </c>
      <c r="Q139" s="1532" t="s">
        <v>850</v>
      </c>
      <c r="R139" s="1231" t="s">
        <v>40</v>
      </c>
      <c r="S139" s="131" t="s">
        <v>1040</v>
      </c>
      <c r="T139" s="99">
        <v>8</v>
      </c>
      <c r="U139" s="99">
        <v>200</v>
      </c>
      <c r="V139" s="99">
        <v>2</v>
      </c>
      <c r="W139" s="811" t="s">
        <v>50</v>
      </c>
      <c r="X139" s="492" t="s">
        <v>86</v>
      </c>
      <c r="Y139" s="38" t="s">
        <v>51</v>
      </c>
      <c r="Z139" s="103" t="s">
        <v>52</v>
      </c>
      <c r="AA139" s="103" t="s">
        <v>52</v>
      </c>
      <c r="AB139" s="29"/>
      <c r="AC139" s="29"/>
      <c r="AD139" s="29" t="s">
        <v>40</v>
      </c>
      <c r="AE139" s="29" t="s">
        <v>134</v>
      </c>
      <c r="AF139" t="s">
        <v>1229</v>
      </c>
      <c r="AG139" s="919" t="s">
        <v>46</v>
      </c>
      <c r="AH139" s="941"/>
      <c r="AI139" s="63"/>
      <c r="AJ139" s="63"/>
      <c r="AK139" s="63"/>
      <c r="AL139" s="63"/>
    </row>
    <row r="140" spans="1:38" s="64" customFormat="1" ht="27.75" customHeight="1">
      <c r="A140" s="1677"/>
      <c r="B140"/>
      <c r="C140"/>
      <c r="D140"/>
      <c r="E140"/>
      <c r="F140"/>
      <c r="G140"/>
      <c r="H140"/>
      <c r="I140" s="1687"/>
      <c r="J140" s="899" t="s">
        <v>41</v>
      </c>
      <c r="K140" s="749" t="s">
        <v>1367</v>
      </c>
      <c r="L140" s="1457" t="s">
        <v>1368</v>
      </c>
      <c r="M140" s="99" t="s">
        <v>1369</v>
      </c>
      <c r="N140" s="615"/>
      <c r="O140" s="883" t="s">
        <v>40</v>
      </c>
      <c r="P140" s="653" t="s">
        <v>46</v>
      </c>
      <c r="Q140" s="1532" t="s">
        <v>850</v>
      </c>
      <c r="R140" s="788" t="s">
        <v>40</v>
      </c>
      <c r="S140" s="1457" t="s">
        <v>1040</v>
      </c>
      <c r="T140" s="112">
        <v>32</v>
      </c>
      <c r="U140" s="112">
        <v>200</v>
      </c>
      <c r="V140" s="112">
        <v>4</v>
      </c>
      <c r="W140" s="812" t="s">
        <v>50</v>
      </c>
      <c r="X140" s="1" t="s">
        <v>50</v>
      </c>
      <c r="Y140" s="299" t="s">
        <v>51</v>
      </c>
      <c r="Z140" s="489" t="s">
        <v>52</v>
      </c>
      <c r="AA140" s="489" t="s">
        <v>52</v>
      </c>
      <c r="AB140" s="111"/>
      <c r="AC140" s="736"/>
      <c r="AD140" s="111" t="s">
        <v>40</v>
      </c>
      <c r="AE140" s="736" t="s">
        <v>134</v>
      </c>
      <c r="AF140" s="29" t="s">
        <v>1229</v>
      </c>
      <c r="AG140" s="920" t="s">
        <v>46</v>
      </c>
      <c r="AH140"/>
      <c r="AI140"/>
      <c r="AJ140"/>
      <c r="AK140"/>
      <c r="AL140"/>
    </row>
    <row r="141" spans="1:38" s="64" customFormat="1" ht="27.75" customHeight="1">
      <c r="A141" s="1677"/>
      <c r="B141"/>
      <c r="C141"/>
      <c r="D141"/>
      <c r="E141"/>
      <c r="F141"/>
      <c r="G141"/>
      <c r="H141"/>
      <c r="I141" s="1687"/>
      <c r="J141" s="1380" t="s">
        <v>41</v>
      </c>
      <c r="K141" s="118" t="s">
        <v>1370</v>
      </c>
      <c r="L141" s="102" t="s">
        <v>1371</v>
      </c>
      <c r="M141" s="99" t="s">
        <v>1372</v>
      </c>
      <c r="N141" s="615"/>
      <c r="O141" s="645"/>
      <c r="P141" s="1232"/>
      <c r="Q141" s="1532" t="s">
        <v>850</v>
      </c>
      <c r="R141" s="654" t="s">
        <v>40</v>
      </c>
      <c r="S141" s="218" t="s">
        <v>388</v>
      </c>
      <c r="T141" s="130">
        <v>8</v>
      </c>
      <c r="U141" s="100">
        <v>60</v>
      </c>
      <c r="V141" s="100">
        <v>4</v>
      </c>
      <c r="W141" s="237" t="s">
        <v>86</v>
      </c>
      <c r="X141" s="103" t="s">
        <v>86</v>
      </c>
      <c r="Y141" s="31" t="s">
        <v>51</v>
      </c>
      <c r="Z141" s="334" t="s">
        <v>389</v>
      </c>
      <c r="AA141" s="334" t="s">
        <v>52</v>
      </c>
      <c r="AB141" s="54"/>
      <c r="AC141" s="884"/>
      <c r="AD141" s="53" t="s">
        <v>40</v>
      </c>
      <c r="AE141" s="884" t="s">
        <v>134</v>
      </c>
      <c r="AF141" s="29" t="s">
        <v>1202</v>
      </c>
      <c r="AG141" s="920" t="s">
        <v>46</v>
      </c>
      <c r="AH141"/>
      <c r="AI141"/>
      <c r="AJ141"/>
      <c r="AK141"/>
      <c r="AL141"/>
    </row>
    <row r="142" spans="1:38" s="64" customFormat="1" ht="27.75" customHeight="1">
      <c r="A142" s="1677"/>
      <c r="B142"/>
      <c r="C142"/>
      <c r="D142"/>
      <c r="E142"/>
      <c r="F142"/>
      <c r="G142"/>
      <c r="H142"/>
      <c r="I142" s="1687"/>
      <c r="J142" s="1380" t="s">
        <v>41</v>
      </c>
      <c r="K142" s="1236" t="s">
        <v>1373</v>
      </c>
      <c r="L142" s="102" t="s">
        <v>1374</v>
      </c>
      <c r="M142" s="99" t="s">
        <v>1375</v>
      </c>
      <c r="N142" s="615"/>
      <c r="O142" s="645"/>
      <c r="P142" s="1232"/>
      <c r="Q142" s="1529" t="s">
        <v>1032</v>
      </c>
      <c r="R142" s="789" t="s">
        <v>40</v>
      </c>
      <c r="S142" s="218" t="s">
        <v>1376</v>
      </c>
      <c r="T142" s="130">
        <v>16</v>
      </c>
      <c r="U142" s="100">
        <v>250</v>
      </c>
      <c r="V142" s="100">
        <v>8</v>
      </c>
      <c r="W142" s="812" t="s">
        <v>50</v>
      </c>
      <c r="X142" s="180" t="s">
        <v>50</v>
      </c>
      <c r="Y142" s="31" t="s">
        <v>51</v>
      </c>
      <c r="Z142" s="334" t="s">
        <v>389</v>
      </c>
      <c r="AA142" s="334" t="s">
        <v>52</v>
      </c>
      <c r="AB142" s="54"/>
      <c r="AC142" s="884"/>
      <c r="AD142" s="53" t="s">
        <v>40</v>
      </c>
      <c r="AE142" s="884" t="s">
        <v>134</v>
      </c>
      <c r="AF142" s="29" t="s">
        <v>891</v>
      </c>
      <c r="AG142" s="920"/>
      <c r="AH142"/>
      <c r="AI142"/>
      <c r="AJ142"/>
      <c r="AK142"/>
      <c r="AL142"/>
    </row>
    <row r="143" spans="1:38" s="64" customFormat="1" ht="27.75" customHeight="1">
      <c r="A143" s="1677"/>
      <c r="B143"/>
      <c r="C143"/>
      <c r="D143"/>
      <c r="E143"/>
      <c r="F143"/>
      <c r="G143"/>
      <c r="H143"/>
      <c r="I143" s="1687"/>
      <c r="J143" s="1380" t="s">
        <v>41</v>
      </c>
      <c r="K143" s="1236" t="s">
        <v>1377</v>
      </c>
      <c r="L143" s="102" t="s">
        <v>1378</v>
      </c>
      <c r="M143" s="99" t="s">
        <v>1379</v>
      </c>
      <c r="N143" s="615"/>
      <c r="O143" s="645" t="s">
        <v>40</v>
      </c>
      <c r="P143" s="1232" t="s">
        <v>46</v>
      </c>
      <c r="Q143" s="390" t="s">
        <v>1380</v>
      </c>
      <c r="R143" s="645" t="s">
        <v>40</v>
      </c>
      <c r="S143" s="218" t="s">
        <v>138</v>
      </c>
      <c r="T143" s="130">
        <v>8</v>
      </c>
      <c r="U143" s="100">
        <v>100</v>
      </c>
      <c r="V143" s="100">
        <v>4</v>
      </c>
      <c r="W143" s="237" t="s">
        <v>86</v>
      </c>
      <c r="X143" s="103" t="s">
        <v>86</v>
      </c>
      <c r="Y143" s="31" t="s">
        <v>51</v>
      </c>
      <c r="Z143" s="334" t="s">
        <v>389</v>
      </c>
      <c r="AA143" s="334" t="s">
        <v>52</v>
      </c>
      <c r="AB143" s="54"/>
      <c r="AC143" s="884"/>
      <c r="AD143" s="53" t="s">
        <v>40</v>
      </c>
      <c r="AE143" s="884" t="s">
        <v>134</v>
      </c>
      <c r="AF143" s="29" t="s">
        <v>920</v>
      </c>
      <c r="AG143" s="920"/>
      <c r="AH143"/>
      <c r="AI143"/>
      <c r="AJ143"/>
      <c r="AK143"/>
      <c r="AL143"/>
    </row>
    <row r="144" spans="1:38" s="64" customFormat="1" ht="39.75" customHeight="1">
      <c r="A144" s="1677"/>
      <c r="B144"/>
      <c r="C144"/>
      <c r="D144"/>
      <c r="E144"/>
      <c r="F144"/>
      <c r="G144"/>
      <c r="H144"/>
      <c r="I144" s="1687"/>
      <c r="J144" s="299" t="s">
        <v>41</v>
      </c>
      <c r="K144" s="1236" t="s">
        <v>1381</v>
      </c>
      <c r="L144" s="828" t="s">
        <v>1382</v>
      </c>
      <c r="M144" s="100" t="s">
        <v>1383</v>
      </c>
      <c r="N144" s="1227"/>
      <c r="O144" s="768" t="s">
        <v>46</v>
      </c>
      <c r="P144" s="644" t="s">
        <v>40</v>
      </c>
      <c r="Q144" s="130" t="s">
        <v>1380</v>
      </c>
      <c r="R144" s="1370" t="s">
        <v>40</v>
      </c>
      <c r="S144" s="259" t="s">
        <v>1384</v>
      </c>
      <c r="T144" s="131">
        <v>16</v>
      </c>
      <c r="U144" s="99">
        <v>150</v>
      </c>
      <c r="V144" s="99">
        <v>4</v>
      </c>
      <c r="W144" s="811" t="s">
        <v>86</v>
      </c>
      <c r="X144" s="103" t="s">
        <v>86</v>
      </c>
      <c r="Y144" s="1394" t="s">
        <v>51</v>
      </c>
      <c r="Z144" s="103" t="s">
        <v>389</v>
      </c>
      <c r="AA144" s="103" t="s">
        <v>52</v>
      </c>
      <c r="AB144" s="29"/>
      <c r="AC144" s="29"/>
      <c r="AD144" s="144" t="s">
        <v>40</v>
      </c>
      <c r="AE144" s="88" t="s">
        <v>134</v>
      </c>
      <c r="AF144" s="29" t="s">
        <v>907</v>
      </c>
      <c r="AG144" s="920"/>
    </row>
    <row r="145" spans="1:38" s="64" customFormat="1" ht="27.75" customHeight="1">
      <c r="A145" s="1677"/>
      <c r="B145"/>
      <c r="C145"/>
      <c r="D145"/>
      <c r="E145"/>
      <c r="F145"/>
      <c r="G145"/>
      <c r="H145"/>
      <c r="I145" s="1687"/>
      <c r="J145" s="299" t="s">
        <v>41</v>
      </c>
      <c r="K145" s="1236" t="s">
        <v>1385</v>
      </c>
      <c r="L145" s="1237" t="s">
        <v>1386</v>
      </c>
      <c r="M145" s="99" t="s">
        <v>1387</v>
      </c>
      <c r="N145" s="1228"/>
      <c r="O145" s="768" t="s">
        <v>46</v>
      </c>
      <c r="P145" s="1232" t="s">
        <v>40</v>
      </c>
      <c r="Q145" s="100" t="s">
        <v>898</v>
      </c>
      <c r="R145" s="1370" t="s">
        <v>40</v>
      </c>
      <c r="S145" s="125" t="s">
        <v>899</v>
      </c>
      <c r="T145" s="131">
        <v>4</v>
      </c>
      <c r="U145" s="99">
        <v>100</v>
      </c>
      <c r="V145" s="99">
        <v>4</v>
      </c>
      <c r="W145" s="811" t="s">
        <v>50</v>
      </c>
      <c r="X145" s="491" t="s">
        <v>50</v>
      </c>
      <c r="Y145" s="299" t="s">
        <v>51</v>
      </c>
      <c r="Z145" s="103" t="s">
        <v>389</v>
      </c>
      <c r="AA145" s="103" t="s">
        <v>52</v>
      </c>
      <c r="AB145" s="29"/>
      <c r="AC145" s="29"/>
      <c r="AD145" s="144" t="s">
        <v>40</v>
      </c>
      <c r="AE145" s="29" t="s">
        <v>134</v>
      </c>
      <c r="AF145" t="s">
        <v>884</v>
      </c>
      <c r="AG145" s="1224"/>
    </row>
    <row r="146" spans="1:38" s="64" customFormat="1" ht="27.75" customHeight="1">
      <c r="A146" s="1677"/>
      <c r="B146"/>
      <c r="C146"/>
      <c r="D146"/>
      <c r="E146"/>
      <c r="F146"/>
      <c r="G146"/>
      <c r="H146"/>
      <c r="I146" s="1687"/>
      <c r="J146" s="299" t="s">
        <v>41</v>
      </c>
      <c r="K146" s="1238" t="s">
        <v>1388</v>
      </c>
      <c r="L146" s="1366" t="s">
        <v>1389</v>
      </c>
      <c r="M146" s="99" t="s">
        <v>1390</v>
      </c>
      <c r="N146" s="1233"/>
      <c r="O146" s="768" t="s">
        <v>46</v>
      </c>
      <c r="P146" s="883" t="s">
        <v>40</v>
      </c>
      <c r="Q146" s="112" t="s">
        <v>898</v>
      </c>
      <c r="R146" s="1370" t="s">
        <v>40</v>
      </c>
      <c r="S146" s="125" t="s">
        <v>1384</v>
      </c>
      <c r="T146" s="131">
        <v>6</v>
      </c>
      <c r="U146" s="99">
        <v>120</v>
      </c>
      <c r="V146" s="99">
        <v>8</v>
      </c>
      <c r="W146" s="811" t="s">
        <v>50</v>
      </c>
      <c r="X146" s="491" t="s">
        <v>50</v>
      </c>
      <c r="Y146" s="299" t="s">
        <v>51</v>
      </c>
      <c r="Z146" s="103" t="s">
        <v>389</v>
      </c>
      <c r="AA146" s="103" t="s">
        <v>52</v>
      </c>
      <c r="AB146" s="29"/>
      <c r="AC146" s="29"/>
      <c r="AD146" s="146" t="s">
        <v>40</v>
      </c>
      <c r="AE146" s="111" t="s">
        <v>134</v>
      </c>
      <c r="AF146" t="s">
        <v>884</v>
      </c>
      <c r="AG146" s="1224"/>
    </row>
    <row r="147" spans="1:38" s="64" customFormat="1" ht="27.75" customHeight="1">
      <c r="A147" s="1677"/>
      <c r="B147"/>
      <c r="C147"/>
      <c r="D147"/>
      <c r="E147"/>
      <c r="F147"/>
      <c r="G147"/>
      <c r="H147"/>
      <c r="I147" s="1687"/>
      <c r="J147" s="299" t="s">
        <v>41</v>
      </c>
      <c r="K147" s="1238" t="s">
        <v>1391</v>
      </c>
      <c r="L147" s="1226" t="s">
        <v>1392</v>
      </c>
      <c r="M147" s="99" t="s">
        <v>1393</v>
      </c>
      <c r="N147" s="1228"/>
      <c r="O147" s="768" t="s">
        <v>46</v>
      </c>
      <c r="P147" s="883" t="s">
        <v>40</v>
      </c>
      <c r="Q147" s="112" t="s">
        <v>898</v>
      </c>
      <c r="R147" s="1370" t="s">
        <v>40</v>
      </c>
      <c r="S147" s="125" t="s">
        <v>899</v>
      </c>
      <c r="T147" s="131">
        <v>4</v>
      </c>
      <c r="U147" s="99">
        <v>100</v>
      </c>
      <c r="V147" s="99">
        <v>4</v>
      </c>
      <c r="W147" s="811" t="s">
        <v>50</v>
      </c>
      <c r="X147" s="1" t="s">
        <v>50</v>
      </c>
      <c r="Y147" s="299" t="s">
        <v>51</v>
      </c>
      <c r="Z147" s="103" t="s">
        <v>389</v>
      </c>
      <c r="AA147" s="103" t="s">
        <v>52</v>
      </c>
      <c r="AB147" s="29"/>
      <c r="AC147" s="29"/>
      <c r="AD147" s="144" t="s">
        <v>40</v>
      </c>
      <c r="AE147" s="29" t="s">
        <v>134</v>
      </c>
      <c r="AF147" t="s">
        <v>871</v>
      </c>
      <c r="AG147" s="1224"/>
    </row>
    <row r="148" spans="1:38" s="64" customFormat="1" ht="27.75" customHeight="1">
      <c r="A148" s="1677"/>
      <c r="B148"/>
      <c r="C148"/>
      <c r="D148"/>
      <c r="E148"/>
      <c r="F148"/>
      <c r="G148"/>
      <c r="H148"/>
      <c r="I148" s="1687"/>
      <c r="J148" s="299" t="s">
        <v>41</v>
      </c>
      <c r="K148" s="1238" t="s">
        <v>1394</v>
      </c>
      <c r="L148" s="325" t="s">
        <v>1395</v>
      </c>
      <c r="M148" s="112" t="s">
        <v>1396</v>
      </c>
      <c r="N148" s="1233"/>
      <c r="O148" s="768"/>
      <c r="P148" s="883"/>
      <c r="Q148" s="112" t="s">
        <v>1397</v>
      </c>
      <c r="R148" s="1370" t="s">
        <v>40</v>
      </c>
      <c r="S148" s="125" t="s">
        <v>1384</v>
      </c>
      <c r="T148" s="131">
        <v>8</v>
      </c>
      <c r="U148" s="99">
        <v>50</v>
      </c>
      <c r="V148" s="99">
        <v>6</v>
      </c>
      <c r="W148" s="811" t="s">
        <v>50</v>
      </c>
      <c r="X148" s="1" t="s">
        <v>50</v>
      </c>
      <c r="Y148" s="299" t="s">
        <v>51</v>
      </c>
      <c r="Z148" s="103" t="s">
        <v>389</v>
      </c>
      <c r="AA148" s="103" t="s">
        <v>52</v>
      </c>
      <c r="AB148" s="88"/>
      <c r="AC148" s="736"/>
      <c r="AD148" s="144" t="s">
        <v>40</v>
      </c>
      <c r="AE148" s="29" t="s">
        <v>134</v>
      </c>
      <c r="AF148" t="s">
        <v>884</v>
      </c>
      <c r="AG148" s="920"/>
    </row>
    <row r="149" spans="1:38" s="64" customFormat="1" ht="27.75" customHeight="1">
      <c r="A149" s="1677"/>
      <c r="B149"/>
      <c r="C149"/>
      <c r="D149"/>
      <c r="E149"/>
      <c r="F149"/>
      <c r="G149"/>
      <c r="H149"/>
      <c r="I149" s="1687"/>
      <c r="J149" s="299" t="s">
        <v>41</v>
      </c>
      <c r="K149" s="1238" t="s">
        <v>1398</v>
      </c>
      <c r="L149" s="1371" t="s">
        <v>1395</v>
      </c>
      <c r="M149" s="112" t="s">
        <v>1399</v>
      </c>
      <c r="N149" s="1233"/>
      <c r="O149" s="768"/>
      <c r="P149" s="883"/>
      <c r="Q149" s="112" t="s">
        <v>1397</v>
      </c>
      <c r="R149" s="1370" t="s">
        <v>40</v>
      </c>
      <c r="S149" s="125" t="s">
        <v>1384</v>
      </c>
      <c r="T149" s="131">
        <v>10</v>
      </c>
      <c r="U149" s="99">
        <v>100</v>
      </c>
      <c r="V149" s="99">
        <v>8</v>
      </c>
      <c r="W149" s="811" t="s">
        <v>50</v>
      </c>
      <c r="X149" s="1" t="s">
        <v>50</v>
      </c>
      <c r="Y149" s="299" t="s">
        <v>51</v>
      </c>
      <c r="Z149" s="103" t="s">
        <v>389</v>
      </c>
      <c r="AA149" s="103" t="s">
        <v>52</v>
      </c>
      <c r="AB149" s="88"/>
      <c r="AC149" s="736"/>
      <c r="AD149" s="144" t="s">
        <v>40</v>
      </c>
      <c r="AE149" s="29" t="s">
        <v>134</v>
      </c>
      <c r="AF149" t="s">
        <v>884</v>
      </c>
      <c r="AG149" s="920"/>
    </row>
    <row r="150" spans="1:38" s="64" customFormat="1" ht="27.75" customHeight="1">
      <c r="A150" s="1677"/>
      <c r="B150"/>
      <c r="C150"/>
      <c r="D150"/>
      <c r="E150"/>
      <c r="F150"/>
      <c r="G150"/>
      <c r="H150"/>
      <c r="I150" s="1687"/>
      <c r="J150" s="299" t="s">
        <v>41</v>
      </c>
      <c r="K150" s="1238" t="s">
        <v>1400</v>
      </c>
      <c r="L150" s="1371" t="s">
        <v>1401</v>
      </c>
      <c r="M150" s="112" t="s">
        <v>1402</v>
      </c>
      <c r="N150" s="1233"/>
      <c r="O150" s="768"/>
      <c r="P150" s="883"/>
      <c r="Q150" s="112" t="s">
        <v>1032</v>
      </c>
      <c r="R150" s="1370" t="s">
        <v>40</v>
      </c>
      <c r="S150" s="125" t="s">
        <v>1384</v>
      </c>
      <c r="T150" s="131">
        <v>16</v>
      </c>
      <c r="U150" s="99">
        <v>250</v>
      </c>
      <c r="V150" s="99">
        <v>8</v>
      </c>
      <c r="W150" s="811" t="s">
        <v>50</v>
      </c>
      <c r="X150" s="1" t="s">
        <v>50</v>
      </c>
      <c r="Y150" s="299" t="s">
        <v>51</v>
      </c>
      <c r="Z150" s="103" t="s">
        <v>389</v>
      </c>
      <c r="AA150" s="103" t="s">
        <v>52</v>
      </c>
      <c r="AB150" s="88"/>
      <c r="AC150" s="736"/>
      <c r="AD150" s="144" t="s">
        <v>40</v>
      </c>
      <c r="AE150" s="29" t="s">
        <v>134</v>
      </c>
      <c r="AF150" s="29" t="s">
        <v>1202</v>
      </c>
      <c r="AG150" s="920"/>
    </row>
    <row r="151" spans="1:38" s="64" customFormat="1" ht="27.75" customHeight="1">
      <c r="A151" s="1677"/>
      <c r="B151"/>
      <c r="C151"/>
      <c r="D151"/>
      <c r="E151"/>
      <c r="F151"/>
      <c r="G151"/>
      <c r="H151"/>
      <c r="I151" s="1687"/>
      <c r="J151" s="299" t="s">
        <v>41</v>
      </c>
      <c r="K151" s="1238" t="s">
        <v>1403</v>
      </c>
      <c r="L151" s="1371" t="s">
        <v>1404</v>
      </c>
      <c r="M151" s="112" t="s">
        <v>1405</v>
      </c>
      <c r="N151" s="1233"/>
      <c r="O151" s="768" t="s">
        <v>46</v>
      </c>
      <c r="P151" s="883" t="s">
        <v>40</v>
      </c>
      <c r="Q151" s="112" t="s">
        <v>1032</v>
      </c>
      <c r="R151" s="788" t="s">
        <v>40</v>
      </c>
      <c r="S151" s="1372" t="s">
        <v>769</v>
      </c>
      <c r="T151" s="99">
        <v>16</v>
      </c>
      <c r="U151" s="99">
        <v>120</v>
      </c>
      <c r="V151" s="99">
        <v>8</v>
      </c>
      <c r="W151" s="811" t="s">
        <v>65</v>
      </c>
      <c r="X151" s="103" t="s">
        <v>65</v>
      </c>
      <c r="Y151" s="1394" t="s">
        <v>200</v>
      </c>
      <c r="Z151" s="103" t="s">
        <v>389</v>
      </c>
      <c r="AA151" s="103" t="s">
        <v>389</v>
      </c>
      <c r="AB151" s="88"/>
      <c r="AC151" s="736"/>
      <c r="AD151" s="146" t="s">
        <v>40</v>
      </c>
      <c r="AE151" s="866" t="s">
        <v>134</v>
      </c>
      <c r="AF151" t="s">
        <v>920</v>
      </c>
      <c r="AG151" s="920"/>
    </row>
    <row r="152" spans="1:38" s="64" customFormat="1" ht="27.75" customHeight="1">
      <c r="A152" s="1677"/>
      <c r="B152"/>
      <c r="C152" s="109"/>
      <c r="D152" s="109"/>
      <c r="E152" s="109"/>
      <c r="F152" s="109"/>
      <c r="G152" s="109"/>
      <c r="H152" s="109"/>
      <c r="I152" s="1687"/>
      <c r="J152" s="133" t="s">
        <v>41</v>
      </c>
      <c r="K152" s="571" t="s">
        <v>1406</v>
      </c>
      <c r="L152" s="106" t="s">
        <v>1407</v>
      </c>
      <c r="M152" s="125" t="s">
        <v>1408</v>
      </c>
      <c r="N152" s="1381"/>
      <c r="O152" s="768" t="s">
        <v>46</v>
      </c>
      <c r="P152" s="883" t="s">
        <v>40</v>
      </c>
      <c r="Q152" s="564" t="s">
        <v>186</v>
      </c>
      <c r="R152" s="1370" t="s">
        <v>40</v>
      </c>
      <c r="S152" s="1372" t="s">
        <v>1409</v>
      </c>
      <c r="T152" s="298">
        <v>16</v>
      </c>
      <c r="U152" s="125">
        <v>250</v>
      </c>
      <c r="V152" s="125">
        <v>4</v>
      </c>
      <c r="W152" s="630" t="s">
        <v>50</v>
      </c>
      <c r="X152" s="87" t="s">
        <v>86</v>
      </c>
      <c r="Y152" s="1394" t="s">
        <v>51</v>
      </c>
      <c r="Z152" s="103" t="s">
        <v>389</v>
      </c>
      <c r="AA152" s="103" t="s">
        <v>389</v>
      </c>
      <c r="AB152" s="119"/>
      <c r="AC152" s="1383"/>
      <c r="AD152" s="181" t="s">
        <v>40</v>
      </c>
      <c r="AE152" s="1200" t="s">
        <v>134</v>
      </c>
      <c r="AF152" s="29" t="s">
        <v>997</v>
      </c>
      <c r="AG152" s="1439"/>
      <c r="AH152" s="93"/>
      <c r="AI152" s="93"/>
      <c r="AJ152" s="93"/>
      <c r="AK152" s="93"/>
      <c r="AL152" s="93"/>
    </row>
    <row r="153" spans="1:38" s="64" customFormat="1" ht="27.75" customHeight="1">
      <c r="A153" s="1677"/>
      <c r="B153"/>
      <c r="C153"/>
      <c r="D153"/>
      <c r="E153"/>
      <c r="F153"/>
      <c r="G153"/>
      <c r="H153"/>
      <c r="I153" s="1687"/>
      <c r="J153" s="299" t="s">
        <v>41</v>
      </c>
      <c r="K153" s="118" t="s">
        <v>1410</v>
      </c>
      <c r="L153" s="106" t="s">
        <v>1411</v>
      </c>
      <c r="M153" s="99" t="s">
        <v>1412</v>
      </c>
      <c r="N153" s="766"/>
      <c r="O153" s="768"/>
      <c r="P153" s="883" t="s">
        <v>40</v>
      </c>
      <c r="Q153" s="564" t="s">
        <v>186</v>
      </c>
      <c r="R153" s="1370" t="s">
        <v>40</v>
      </c>
      <c r="S153" s="571" t="s">
        <v>1409</v>
      </c>
      <c r="T153" s="298">
        <v>16</v>
      </c>
      <c r="U153" s="125">
        <v>250</v>
      </c>
      <c r="V153" s="125">
        <v>4</v>
      </c>
      <c r="W153" s="811" t="s">
        <v>50</v>
      </c>
      <c r="X153" s="103" t="s">
        <v>86</v>
      </c>
      <c r="Y153" s="1394" t="s">
        <v>51</v>
      </c>
      <c r="Z153" s="103" t="s">
        <v>389</v>
      </c>
      <c r="AA153" s="103" t="s">
        <v>389</v>
      </c>
      <c r="AB153" s="88"/>
      <c r="AC153" s="736"/>
      <c r="AD153" s="146" t="s">
        <v>40</v>
      </c>
      <c r="AE153" s="866" t="s">
        <v>1413</v>
      </c>
      <c r="AF153" s="29" t="s">
        <v>997</v>
      </c>
      <c r="AG153" s="920"/>
    </row>
    <row r="154" spans="1:38" s="64" customFormat="1" ht="27.75" customHeight="1">
      <c r="A154" s="1677"/>
      <c r="B154"/>
      <c r="C154"/>
      <c r="D154"/>
      <c r="E154"/>
      <c r="F154"/>
      <c r="G154"/>
      <c r="H154"/>
      <c r="I154" s="1687"/>
      <c r="J154" s="299" t="s">
        <v>41</v>
      </c>
      <c r="K154" s="118" t="s">
        <v>1414</v>
      </c>
      <c r="L154" s="828" t="s">
        <v>1415</v>
      </c>
      <c r="M154" s="99" t="s">
        <v>1416</v>
      </c>
      <c r="N154" s="766"/>
      <c r="O154" s="768" t="s">
        <v>46</v>
      </c>
      <c r="P154" s="883" t="s">
        <v>46</v>
      </c>
      <c r="Q154" s="1532" t="s">
        <v>850</v>
      </c>
      <c r="R154" s="788" t="s">
        <v>46</v>
      </c>
      <c r="S154" s="1372" t="s">
        <v>388</v>
      </c>
      <c r="T154" s="99">
        <v>16</v>
      </c>
      <c r="U154" s="99">
        <v>150</v>
      </c>
      <c r="V154" s="99">
        <v>4</v>
      </c>
      <c r="W154" s="811" t="s">
        <v>65</v>
      </c>
      <c r="X154" s="491" t="s">
        <v>65</v>
      </c>
      <c r="Y154" s="299" t="s">
        <v>200</v>
      </c>
      <c r="Z154" s="103" t="s">
        <v>389</v>
      </c>
      <c r="AA154" s="103" t="s">
        <v>52</v>
      </c>
      <c r="AB154" s="88"/>
      <c r="AC154" s="29"/>
      <c r="AD154" s="29" t="s">
        <v>46</v>
      </c>
      <c r="AE154" s="866"/>
      <c r="AF154" s="29"/>
      <c r="AG154" s="920"/>
    </row>
    <row r="155" spans="1:38" s="64" customFormat="1" ht="27.75" customHeight="1">
      <c r="A155" s="1677"/>
      <c r="B155"/>
      <c r="C155"/>
      <c r="D155"/>
      <c r="E155"/>
      <c r="F155"/>
      <c r="G155"/>
      <c r="H155"/>
      <c r="I155" s="1687"/>
      <c r="J155" s="38" t="s">
        <v>41</v>
      </c>
      <c r="K155" s="885" t="s">
        <v>1417</v>
      </c>
      <c r="L155" s="828" t="s">
        <v>1418</v>
      </c>
      <c r="M155" s="99" t="s">
        <v>1419</v>
      </c>
      <c r="N155" s="766"/>
      <c r="O155" s="768" t="s">
        <v>46</v>
      </c>
      <c r="P155" s="883" t="s">
        <v>40</v>
      </c>
      <c r="Q155" s="112" t="s">
        <v>1420</v>
      </c>
      <c r="R155" s="1370" t="s">
        <v>40</v>
      </c>
      <c r="S155" s="571" t="s">
        <v>388</v>
      </c>
      <c r="T155" s="131">
        <v>16</v>
      </c>
      <c r="U155" s="99">
        <v>100</v>
      </c>
      <c r="V155" s="99">
        <v>4</v>
      </c>
      <c r="W155" s="811" t="s">
        <v>86</v>
      </c>
      <c r="X155" s="492" t="s">
        <v>86</v>
      </c>
      <c r="Y155" s="299" t="s">
        <v>51</v>
      </c>
      <c r="Z155" s="103" t="s">
        <v>389</v>
      </c>
      <c r="AA155" s="103" t="s">
        <v>389</v>
      </c>
      <c r="AB155" s="29"/>
      <c r="AC155" s="884"/>
      <c r="AD155" s="54" t="s">
        <v>40</v>
      </c>
      <c r="AE155" s="88" t="s">
        <v>134</v>
      </c>
      <c r="AF155" s="119" t="s">
        <v>1034</v>
      </c>
      <c r="AG155" s="920"/>
    </row>
    <row r="156" spans="1:38" ht="24.6" customHeight="1">
      <c r="A156" s="1678"/>
      <c r="B156" s="926"/>
      <c r="C156" s="926"/>
      <c r="D156" s="926"/>
      <c r="E156" s="926"/>
      <c r="F156" s="926"/>
      <c r="G156" s="926"/>
      <c r="H156" s="926"/>
      <c r="I156" s="1688"/>
      <c r="J156" s="1367" t="s">
        <v>41</v>
      </c>
      <c r="K156" s="968" t="s">
        <v>1421</v>
      </c>
      <c r="L156" s="969"/>
      <c r="M156" s="969" t="s">
        <v>1422</v>
      </c>
      <c r="N156" s="969"/>
      <c r="O156" s="923"/>
      <c r="P156" s="653"/>
      <c r="Q156" s="564"/>
      <c r="R156" s="1229"/>
      <c r="S156" s="1239"/>
      <c r="T156" s="99"/>
      <c r="U156" s="99"/>
      <c r="V156" s="99"/>
      <c r="W156" s="811"/>
      <c r="X156" s="970"/>
      <c r="Y156" s="1365"/>
      <c r="Z156" s="103"/>
      <c r="AA156" s="103"/>
      <c r="AB156" s="29"/>
      <c r="AC156" s="88"/>
      <c r="AD156" s="29"/>
      <c r="AE156" s="29"/>
      <c r="AF156" s="926"/>
      <c r="AG156" s="971"/>
    </row>
    <row r="157" spans="1:38" s="109" customFormat="1" ht="45.75">
      <c r="A157" s="1650"/>
      <c r="B157" s="975" t="s">
        <v>48</v>
      </c>
      <c r="C157" s="944" t="s">
        <v>1423</v>
      </c>
      <c r="D157" s="944"/>
      <c r="E157" s="945" t="s">
        <v>1424</v>
      </c>
      <c r="F157" s="946">
        <v>1</v>
      </c>
      <c r="G157" s="869" t="s">
        <v>1425</v>
      </c>
      <c r="H157" s="947" t="s">
        <v>48</v>
      </c>
      <c r="I157" s="1005">
        <v>1</v>
      </c>
      <c r="J157" s="31" t="s">
        <v>479</v>
      </c>
      <c r="K157" s="985" t="s">
        <v>1426</v>
      </c>
      <c r="L157" s="948" t="s">
        <v>1427</v>
      </c>
      <c r="M157" s="99" t="s">
        <v>1428</v>
      </c>
      <c r="N157" s="943" t="s">
        <v>46</v>
      </c>
      <c r="O157" s="949" t="s">
        <v>48</v>
      </c>
      <c r="P157" s="503" t="s">
        <v>48</v>
      </c>
      <c r="Q157" s="119" t="s">
        <v>1429</v>
      </c>
      <c r="R157" s="1230" t="s">
        <v>40</v>
      </c>
      <c r="S157" s="943" t="s">
        <v>1430</v>
      </c>
      <c r="T157" s="943">
        <v>8</v>
      </c>
      <c r="U157" s="943">
        <v>16</v>
      </c>
      <c r="V157" s="943">
        <v>4</v>
      </c>
      <c r="W157" s="811" t="s">
        <v>50</v>
      </c>
      <c r="X157" s="950" t="s">
        <v>50</v>
      </c>
      <c r="Y157" s="174" t="s">
        <v>51</v>
      </c>
      <c r="Z157" s="899" t="s">
        <v>52</v>
      </c>
      <c r="AA157" s="899" t="s">
        <v>52</v>
      </c>
      <c r="AB157" s="951">
        <v>0</v>
      </c>
      <c r="AD157" s="952" t="s">
        <v>40</v>
      </c>
      <c r="AE157" s="952" t="s">
        <v>1431</v>
      </c>
      <c r="AF157" s="952" t="s">
        <v>1432</v>
      </c>
      <c r="AG157" s="869"/>
    </row>
    <row r="158" spans="1:38" s="109" customFormat="1" ht="75.75" customHeight="1">
      <c r="A158" s="1651"/>
      <c r="B158" s="1653" t="s">
        <v>514</v>
      </c>
      <c r="C158" s="1658" t="s">
        <v>1433</v>
      </c>
      <c r="D158" s="1660" t="s">
        <v>1434</v>
      </c>
      <c r="E158" s="1662" t="s">
        <v>1435</v>
      </c>
      <c r="F158" s="1647">
        <v>2</v>
      </c>
      <c r="G158" s="1666" t="s">
        <v>1436</v>
      </c>
      <c r="H158" s="1664" t="s">
        <v>40</v>
      </c>
      <c r="I158" s="1656">
        <v>2</v>
      </c>
      <c r="J158" s="696" t="s">
        <v>41</v>
      </c>
      <c r="K158" s="174" t="s">
        <v>1437</v>
      </c>
      <c r="L158" s="98" t="s">
        <v>520</v>
      </c>
      <c r="M158" s="218" t="s">
        <v>1438</v>
      </c>
      <c r="N158" s="119" t="s">
        <v>46</v>
      </c>
      <c r="O158" s="887" t="s">
        <v>1439</v>
      </c>
      <c r="P158" s="503" t="s">
        <v>48</v>
      </c>
      <c r="Q158" s="1532" t="s">
        <v>850</v>
      </c>
      <c r="R158" s="734" t="s">
        <v>40</v>
      </c>
      <c r="S158" s="119" t="s">
        <v>522</v>
      </c>
      <c r="T158" s="222" t="s">
        <v>1440</v>
      </c>
      <c r="U158" s="222" t="s">
        <v>1441</v>
      </c>
      <c r="V158" s="119">
        <v>64</v>
      </c>
      <c r="W158" s="811" t="s">
        <v>50</v>
      </c>
      <c r="X158" s="219" t="s">
        <v>50</v>
      </c>
      <c r="Y158" s="38" t="s">
        <v>51</v>
      </c>
      <c r="Z158" s="103"/>
      <c r="AA158" s="103"/>
      <c r="AB158" s="119"/>
      <c r="AC158" s="1647" t="s">
        <v>1442</v>
      </c>
      <c r="AD158" s="119" t="s">
        <v>48</v>
      </c>
      <c r="AE158" s="119"/>
      <c r="AF158" s="218" t="s">
        <v>1443</v>
      </c>
      <c r="AG158" s="218" t="s">
        <v>1443</v>
      </c>
    </row>
    <row r="159" spans="1:38" s="109" customFormat="1" ht="69" customHeight="1">
      <c r="A159" s="1651"/>
      <c r="B159" s="1654"/>
      <c r="C159" s="1659"/>
      <c r="D159" s="1661"/>
      <c r="E159" s="1663"/>
      <c r="F159" s="1648"/>
      <c r="G159" s="1667"/>
      <c r="H159" s="1665"/>
      <c r="I159" s="1657"/>
      <c r="J159" s="696" t="s">
        <v>41</v>
      </c>
      <c r="K159" s="38" t="s">
        <v>1444</v>
      </c>
      <c r="L159" s="97" t="s">
        <v>527</v>
      </c>
      <c r="M159" s="119" t="s">
        <v>1445</v>
      </c>
      <c r="N159" s="119" t="s">
        <v>46</v>
      </c>
      <c r="O159" s="503" t="s">
        <v>48</v>
      </c>
      <c r="P159" s="890" t="s">
        <v>48</v>
      </c>
      <c r="Q159" s="1532" t="s">
        <v>850</v>
      </c>
      <c r="R159" s="890" t="s">
        <v>40</v>
      </c>
      <c r="S159" s="119" t="s">
        <v>522</v>
      </c>
      <c r="T159" s="222" t="s">
        <v>1440</v>
      </c>
      <c r="U159" s="222" t="s">
        <v>1441</v>
      </c>
      <c r="V159" s="119">
        <v>64</v>
      </c>
      <c r="W159" s="811" t="s">
        <v>50</v>
      </c>
      <c r="X159" s="219" t="s">
        <v>50</v>
      </c>
      <c r="Y159" s="38" t="s">
        <v>51</v>
      </c>
      <c r="Z159" s="103"/>
      <c r="AA159" s="103"/>
      <c r="AB159" s="119"/>
      <c r="AC159" s="1648"/>
      <c r="AD159" s="119" t="s">
        <v>48</v>
      </c>
      <c r="AE159" s="119"/>
      <c r="AF159" s="218" t="s">
        <v>1443</v>
      </c>
      <c r="AG159" s="218" t="s">
        <v>1443</v>
      </c>
    </row>
    <row r="160" spans="1:38" s="109" customFormat="1" ht="85.5" customHeight="1">
      <c r="A160" s="1651"/>
      <c r="B160" s="1655"/>
      <c r="C160" s="972" t="s">
        <v>1446</v>
      </c>
      <c r="D160" s="778"/>
      <c r="E160" s="870"/>
      <c r="F160" s="1649"/>
      <c r="G160" s="224" t="s">
        <v>1447</v>
      </c>
      <c r="H160" s="874" t="s">
        <v>40</v>
      </c>
      <c r="I160" s="1006">
        <v>1</v>
      </c>
      <c r="J160" s="696" t="s">
        <v>41</v>
      </c>
      <c r="K160" s="38" t="s">
        <v>1448</v>
      </c>
      <c r="L160" s="97" t="s">
        <v>524</v>
      </c>
      <c r="M160" s="119" t="s">
        <v>1449</v>
      </c>
      <c r="N160" s="119" t="s">
        <v>46</v>
      </c>
      <c r="O160" s="503" t="s">
        <v>48</v>
      </c>
      <c r="P160" s="892" t="s">
        <v>48</v>
      </c>
      <c r="Q160" s="1532" t="s">
        <v>850</v>
      </c>
      <c r="R160" s="892" t="s">
        <v>40</v>
      </c>
      <c r="S160" s="119" t="s">
        <v>522</v>
      </c>
      <c r="T160" s="222" t="s">
        <v>1440</v>
      </c>
      <c r="U160" s="222" t="s">
        <v>1441</v>
      </c>
      <c r="V160" s="119">
        <v>64</v>
      </c>
      <c r="W160" s="811" t="s">
        <v>50</v>
      </c>
      <c r="X160" s="219" t="s">
        <v>50</v>
      </c>
      <c r="Y160" s="38" t="s">
        <v>51</v>
      </c>
      <c r="Z160" s="103"/>
      <c r="AA160" s="103"/>
      <c r="AB160" s="119"/>
      <c r="AC160" s="1649"/>
      <c r="AD160" s="119" t="s">
        <v>48</v>
      </c>
      <c r="AE160" s="119"/>
      <c r="AF160" s="218" t="s">
        <v>1443</v>
      </c>
      <c r="AG160" s="218" t="s">
        <v>1443</v>
      </c>
    </row>
    <row r="161" spans="1:33" ht="24.6" customHeight="1">
      <c r="A161" s="1651"/>
      <c r="B161" s="976" t="s">
        <v>48</v>
      </c>
      <c r="C161" s="330" t="s">
        <v>1450</v>
      </c>
      <c r="D161" s="330"/>
      <c r="E161" s="330" t="str">
        <f t="shared" ref="E161:E164" si="0">M161</f>
        <v>192.168.13.253</v>
      </c>
      <c r="F161" s="331">
        <v>1</v>
      </c>
      <c r="G161" s="329" t="s">
        <v>1451</v>
      </c>
      <c r="H161" s="974" t="s">
        <v>48</v>
      </c>
      <c r="I161" s="1007"/>
      <c r="J161" s="333" t="s">
        <v>479</v>
      </c>
      <c r="K161" s="330" t="s">
        <v>1452</v>
      </c>
      <c r="L161" s="330" t="s">
        <v>1453</v>
      </c>
      <c r="M161" s="330" t="s">
        <v>1454</v>
      </c>
      <c r="N161" s="330" t="s">
        <v>1455</v>
      </c>
      <c r="O161" s="654" t="s">
        <v>40</v>
      </c>
      <c r="P161" s="644" t="s">
        <v>46</v>
      </c>
      <c r="Q161" s="889" t="s">
        <v>1429</v>
      </c>
      <c r="R161" s="644" t="s">
        <v>40</v>
      </c>
      <c r="S161" s="330" t="s">
        <v>1456</v>
      </c>
      <c r="T161" s="330">
        <v>9</v>
      </c>
      <c r="U161" s="330">
        <v>600</v>
      </c>
      <c r="V161" s="330"/>
      <c r="W161" s="811" t="s">
        <v>50</v>
      </c>
      <c r="X161" s="331" t="s">
        <v>50</v>
      </c>
      <c r="Y161" s="38" t="s">
        <v>51</v>
      </c>
      <c r="Z161" s="334" t="s">
        <v>52</v>
      </c>
      <c r="AA161" s="334" t="s">
        <v>52</v>
      </c>
      <c r="AB161" s="335">
        <v>0</v>
      </c>
      <c r="AD161" s="54" t="s">
        <v>48</v>
      </c>
      <c r="AE161" s="54"/>
      <c r="AF161" s="336" t="s">
        <v>1457</v>
      </c>
      <c r="AG161" s="336" t="s">
        <v>1457</v>
      </c>
    </row>
    <row r="162" spans="1:33" ht="30.75">
      <c r="A162" s="1651"/>
      <c r="B162" s="977" t="s">
        <v>48</v>
      </c>
      <c r="C162" s="12" t="s">
        <v>1458</v>
      </c>
      <c r="D162" s="12"/>
      <c r="E162" s="12" t="str">
        <f t="shared" si="0"/>
        <v>192.168.5.200</v>
      </c>
      <c r="F162" s="10">
        <v>1</v>
      </c>
      <c r="G162" s="89" t="s">
        <v>1459</v>
      </c>
      <c r="H162" s="973" t="s">
        <v>48</v>
      </c>
      <c r="I162" s="1008"/>
      <c r="J162" s="69" t="s">
        <v>479</v>
      </c>
      <c r="K162" s="12" t="s">
        <v>1460</v>
      </c>
      <c r="L162" s="12" t="s">
        <v>1461</v>
      </c>
      <c r="M162" s="12" t="s">
        <v>1462</v>
      </c>
      <c r="N162" s="12"/>
      <c r="O162" s="654" t="s">
        <v>40</v>
      </c>
      <c r="P162" s="644" t="s">
        <v>46</v>
      </c>
      <c r="Q162" s="889" t="s">
        <v>1429</v>
      </c>
      <c r="R162" s="644" t="s">
        <v>40</v>
      </c>
      <c r="S162" s="12" t="s">
        <v>1463</v>
      </c>
      <c r="T162" s="12">
        <v>24</v>
      </c>
      <c r="U162" s="12">
        <f>4*300</f>
        <v>1200</v>
      </c>
      <c r="V162" s="12"/>
      <c r="W162" s="12"/>
      <c r="X162" s="10" t="s">
        <v>65</v>
      </c>
      <c r="Y162" s="38" t="s">
        <v>51</v>
      </c>
      <c r="Z162" s="103" t="s">
        <v>52</v>
      </c>
      <c r="AA162" s="103" t="s">
        <v>52</v>
      </c>
      <c r="AB162" s="11">
        <v>0</v>
      </c>
      <c r="AD162" s="29" t="s">
        <v>40</v>
      </c>
      <c r="AE162" s="29" t="s">
        <v>134</v>
      </c>
      <c r="AF162" s="29" t="s">
        <v>1464</v>
      </c>
      <c r="AG162" s="29" t="s">
        <v>1464</v>
      </c>
    </row>
    <row r="163" spans="1:33" s="109" customFormat="1" ht="123" customHeight="1">
      <c r="A163" s="1651"/>
      <c r="B163" s="978" t="s">
        <v>48</v>
      </c>
      <c r="C163" s="66" t="s">
        <v>1465</v>
      </c>
      <c r="D163" s="66" t="s">
        <v>1466</v>
      </c>
      <c r="E163" s="66" t="str">
        <f t="shared" si="0"/>
        <v>140.27.120.200</v>
      </c>
      <c r="F163" s="69">
        <v>1</v>
      </c>
      <c r="G163" s="428" t="s">
        <v>1467</v>
      </c>
      <c r="H163" s="973">
        <v>47</v>
      </c>
      <c r="I163" s="1009"/>
      <c r="J163" s="69" t="s">
        <v>479</v>
      </c>
      <c r="K163" s="66" t="s">
        <v>1468</v>
      </c>
      <c r="L163" s="66" t="s">
        <v>1469</v>
      </c>
      <c r="M163" s="66" t="s">
        <v>1470</v>
      </c>
      <c r="N163" s="66"/>
      <c r="O163" s="887" t="s">
        <v>48</v>
      </c>
      <c r="P163" s="503" t="s">
        <v>48</v>
      </c>
      <c r="Q163" s="891" t="s">
        <v>1079</v>
      </c>
      <c r="R163" s="503" t="s">
        <v>40</v>
      </c>
      <c r="S163" s="66" t="s">
        <v>1471</v>
      </c>
      <c r="T163" s="66">
        <v>384</v>
      </c>
      <c r="U163" s="66">
        <f>5*6656</f>
        <v>33280</v>
      </c>
      <c r="V163" s="66"/>
      <c r="W163" s="66"/>
      <c r="X163" s="69" t="s">
        <v>50</v>
      </c>
      <c r="Y163" s="38" t="s">
        <v>51</v>
      </c>
      <c r="Z163" s="38" t="s">
        <v>52</v>
      </c>
      <c r="AA163" s="38" t="s">
        <v>52</v>
      </c>
      <c r="AB163" s="430">
        <v>5690</v>
      </c>
      <c r="AC163" s="109" t="s">
        <v>1472</v>
      </c>
      <c r="AD163" s="119" t="s">
        <v>48</v>
      </c>
      <c r="AE163" s="119"/>
      <c r="AF163" s="218" t="s">
        <v>1473</v>
      </c>
      <c r="AG163" s="218" t="s">
        <v>1473</v>
      </c>
    </row>
    <row r="164" spans="1:33" s="516" customFormat="1" ht="112.5" customHeight="1">
      <c r="A164" s="1652"/>
      <c r="B164" s="1347" t="s">
        <v>48</v>
      </c>
      <c r="C164" s="1348" t="s">
        <v>1458</v>
      </c>
      <c r="D164" s="1348"/>
      <c r="E164" s="1348" t="str">
        <f t="shared" si="0"/>
        <v>140.27.120.164</v>
      </c>
      <c r="F164" s="1349">
        <v>1</v>
      </c>
      <c r="G164" s="1350" t="s">
        <v>1474</v>
      </c>
      <c r="H164" s="1351" t="s">
        <v>48</v>
      </c>
      <c r="I164" s="1352"/>
      <c r="J164" s="1353" t="s">
        <v>479</v>
      </c>
      <c r="K164" s="1348"/>
      <c r="L164" s="1354" t="s">
        <v>1475</v>
      </c>
      <c r="M164" s="1355" t="s">
        <v>1476</v>
      </c>
      <c r="N164" s="1354" t="s">
        <v>1477</v>
      </c>
      <c r="O164" s="1356" t="s">
        <v>40</v>
      </c>
      <c r="P164" s="1357" t="s">
        <v>46</v>
      </c>
      <c r="Q164" s="1358" t="s">
        <v>186</v>
      </c>
      <c r="R164" s="1357" t="s">
        <v>40</v>
      </c>
      <c r="S164" s="1354" t="s">
        <v>1478</v>
      </c>
      <c r="T164" s="1354">
        <v>96</v>
      </c>
      <c r="U164" s="1354">
        <f>4*300</f>
        <v>1200</v>
      </c>
      <c r="V164" s="1354"/>
      <c r="W164" s="1354" t="s">
        <v>680</v>
      </c>
      <c r="X164" s="1353" t="s">
        <v>86</v>
      </c>
      <c r="Y164" s="1359" t="s">
        <v>51</v>
      </c>
      <c r="Z164" s="1360" t="s">
        <v>52</v>
      </c>
      <c r="AA164" s="1360" t="s">
        <v>52</v>
      </c>
      <c r="AB164" s="1361">
        <v>0</v>
      </c>
      <c r="AD164" s="1362" t="s">
        <v>48</v>
      </c>
      <c r="AE164" s="1362"/>
      <c r="AF164" s="1363" t="s">
        <v>1479</v>
      </c>
      <c r="AG164" s="1363" t="s">
        <v>1479</v>
      </c>
    </row>
    <row r="165" spans="1:33" ht="15" customHeight="1">
      <c r="R165" s="641"/>
    </row>
    <row r="166" spans="1:33" ht="15" customHeight="1">
      <c r="R166" s="641"/>
      <c r="Y166" s="31">
        <f>COUNTIF(Y7:Y164,"PRO*")</f>
        <v>108</v>
      </c>
    </row>
    <row r="167" spans="1:33" ht="15" customHeight="1">
      <c r="R167" s="641"/>
    </row>
    <row r="168" spans="1:33" ht="30">
      <c r="A168" t="s">
        <v>557</v>
      </c>
      <c r="N168" s="149" t="s">
        <v>1480</v>
      </c>
      <c r="O168" s="613">
        <f>COUNTIF(O7:O164,"S*")</f>
        <v>32</v>
      </c>
      <c r="P168" s="613">
        <f>COUNTIF(P7:P164,"S*")</f>
        <v>84</v>
      </c>
      <c r="Q168" s="893" t="s">
        <v>1481</v>
      </c>
      <c r="R168" s="613">
        <f>COUNTIF(R7:R164,"S*")</f>
        <v>144</v>
      </c>
      <c r="U168" s="45" t="s">
        <v>556</v>
      </c>
      <c r="V168" s="45"/>
      <c r="W168" s="818"/>
      <c r="AB168" t="s">
        <v>561</v>
      </c>
    </row>
    <row r="169" spans="1:33">
      <c r="A169">
        <f>F169+I169</f>
        <v>136</v>
      </c>
      <c r="E169" s="29" t="s">
        <v>1482</v>
      </c>
      <c r="F169" s="29">
        <f>SUM(F7:F164)</f>
        <v>20</v>
      </c>
      <c r="H169" s="29" t="s">
        <v>1483</v>
      </c>
      <c r="I169" s="29">
        <f>SUM(I7:I168)</f>
        <v>116</v>
      </c>
      <c r="N169" s="149"/>
      <c r="O169" s="613"/>
      <c r="P169" s="613"/>
      <c r="R169" s="785"/>
      <c r="U169" s="54">
        <f>SUM(U7:U164)</f>
        <v>85577</v>
      </c>
      <c r="V169" s="54" t="s">
        <v>560</v>
      </c>
      <c r="AB169">
        <f>SUM(AB7:AB164)</f>
        <v>5690</v>
      </c>
    </row>
    <row r="170" spans="1:33" ht="15" customHeight="1">
      <c r="E170" s="54" t="s">
        <v>1484</v>
      </c>
      <c r="F170" s="54">
        <v>6</v>
      </c>
      <c r="H170" s="29" t="s">
        <v>1485</v>
      </c>
      <c r="I170" s="29">
        <v>115</v>
      </c>
      <c r="N170" s="38" t="s">
        <v>1486</v>
      </c>
      <c r="O170" s="503">
        <f>COUNTIF(O39:O41,"s*")</f>
        <v>0</v>
      </c>
      <c r="P170" s="503">
        <f>COUNTIF(P39:P41,"s*")</f>
        <v>0</v>
      </c>
      <c r="R170" s="641"/>
      <c r="U170" s="29">
        <f>(U169/1024)</f>
        <v>83.5712890625</v>
      </c>
      <c r="V170" s="29" t="s">
        <v>563</v>
      </c>
    </row>
    <row r="171" spans="1:33" ht="15" customHeight="1">
      <c r="H171" s="29" t="s">
        <v>1487</v>
      </c>
      <c r="I171" s="29">
        <v>11</v>
      </c>
      <c r="N171" s="38" t="s">
        <v>1488</v>
      </c>
      <c r="O171" s="503">
        <f>O168-O170</f>
        <v>32</v>
      </c>
      <c r="P171" s="503">
        <f>P168-P170</f>
        <v>84</v>
      </c>
      <c r="R171" s="641"/>
    </row>
    <row r="172" spans="1:33" ht="3.75" customHeight="1">
      <c r="R172" s="641"/>
    </row>
    <row r="173" spans="1:33" ht="36.75" customHeight="1">
      <c r="A173" s="875" t="s">
        <v>565</v>
      </c>
      <c r="B173" s="876"/>
      <c r="C173" s="876"/>
      <c r="D173" s="876"/>
      <c r="E173" s="876"/>
      <c r="F173" s="876"/>
      <c r="G173" s="876"/>
      <c r="H173" s="876"/>
      <c r="I173" s="876"/>
      <c r="J173" s="876"/>
      <c r="K173" s="876"/>
      <c r="L173" s="876"/>
      <c r="M173" s="18"/>
      <c r="N173" s="18"/>
      <c r="O173" s="886">
        <f>COUNTIF(O70:O169,"N*")</f>
        <v>8</v>
      </c>
      <c r="P173" s="294" t="s">
        <v>1489</v>
      </c>
      <c r="R173" s="35"/>
    </row>
    <row r="174" spans="1:33" ht="26.25" customHeight="1">
      <c r="A174" s="877" t="s">
        <v>567</v>
      </c>
      <c r="B174" s="878"/>
      <c r="C174" s="868" t="s">
        <v>568</v>
      </c>
      <c r="D174" s="868"/>
      <c r="E174" s="868"/>
      <c r="F174" s="868"/>
      <c r="G174" s="868"/>
      <c r="H174" s="19" t="s">
        <v>569</v>
      </c>
      <c r="I174" s="19" t="s">
        <v>19</v>
      </c>
      <c r="J174" s="23"/>
      <c r="K174" s="23" t="s">
        <v>570</v>
      </c>
      <c r="L174" s="19" t="s">
        <v>571</v>
      </c>
      <c r="R174" s="641"/>
    </row>
    <row r="175" spans="1:33">
      <c r="A175" s="871" t="s">
        <v>1490</v>
      </c>
      <c r="B175" s="872"/>
      <c r="C175" s="879" t="s">
        <v>1491</v>
      </c>
      <c r="D175" s="879"/>
      <c r="E175" s="879"/>
      <c r="F175" s="879"/>
      <c r="G175" s="879"/>
      <c r="H175" s="20" t="s">
        <v>1492</v>
      </c>
      <c r="I175" s="1532" t="s">
        <v>850</v>
      </c>
      <c r="J175" s="24"/>
      <c r="K175" s="24" t="s">
        <v>1493</v>
      </c>
      <c r="L175" s="20" t="s">
        <v>1494</v>
      </c>
      <c r="R175" s="641"/>
    </row>
    <row r="176" spans="1:33">
      <c r="A176" s="871" t="s">
        <v>1495</v>
      </c>
      <c r="B176" s="872"/>
      <c r="C176" s="873" t="s">
        <v>1496</v>
      </c>
      <c r="D176" s="873"/>
      <c r="E176" s="873"/>
      <c r="F176" s="873"/>
      <c r="G176" s="873"/>
      <c r="H176" s="21" t="s">
        <v>1497</v>
      </c>
      <c r="I176" s="1532" t="s">
        <v>850</v>
      </c>
      <c r="J176" s="25"/>
      <c r="K176" s="25" t="s">
        <v>1498</v>
      </c>
      <c r="L176" s="22" t="s">
        <v>46</v>
      </c>
      <c r="R176" s="641"/>
    </row>
    <row r="177" spans="1:27">
      <c r="A177" s="871" t="s">
        <v>1499</v>
      </c>
      <c r="B177" s="872"/>
      <c r="C177" s="873" t="s">
        <v>1496</v>
      </c>
      <c r="D177" s="873"/>
      <c r="E177" s="873"/>
      <c r="F177" s="873"/>
      <c r="G177" s="873"/>
      <c r="H177" s="21" t="s">
        <v>1500</v>
      </c>
      <c r="I177" s="1532" t="s">
        <v>850</v>
      </c>
      <c r="J177" s="25"/>
      <c r="K177" s="25" t="s">
        <v>1498</v>
      </c>
      <c r="L177" s="22" t="s">
        <v>46</v>
      </c>
      <c r="R177" s="641"/>
    </row>
    <row r="178" spans="1:27">
      <c r="A178" s="871" t="s">
        <v>1501</v>
      </c>
      <c r="B178" s="872"/>
      <c r="C178" s="873" t="s">
        <v>1502</v>
      </c>
      <c r="D178" s="873"/>
      <c r="E178" s="873"/>
      <c r="F178" s="873"/>
      <c r="G178" s="873"/>
      <c r="H178" s="21" t="s">
        <v>1503</v>
      </c>
      <c r="I178" s="1532" t="s">
        <v>850</v>
      </c>
      <c r="J178" s="25"/>
      <c r="K178" s="25" t="s">
        <v>1504</v>
      </c>
      <c r="L178" s="21" t="s">
        <v>1505</v>
      </c>
      <c r="R178" s="641"/>
    </row>
    <row r="179" spans="1:27">
      <c r="A179" s="871" t="s">
        <v>1490</v>
      </c>
      <c r="B179" s="872"/>
      <c r="C179" s="873" t="s">
        <v>1506</v>
      </c>
      <c r="D179" s="873"/>
      <c r="E179" s="873"/>
      <c r="F179" s="873"/>
      <c r="G179" s="873"/>
      <c r="H179" s="20" t="s">
        <v>1507</v>
      </c>
      <c r="I179" s="1532" t="s">
        <v>850</v>
      </c>
      <c r="J179" s="24"/>
      <c r="K179" s="24" t="s">
        <v>1493</v>
      </c>
      <c r="L179" s="20" t="s">
        <v>1494</v>
      </c>
      <c r="R179" s="641"/>
    </row>
    <row r="180" spans="1:27" ht="29.25" customHeight="1">
      <c r="A180" s="871" t="s">
        <v>1508</v>
      </c>
      <c r="B180" s="872"/>
      <c r="C180" s="879" t="s">
        <v>594</v>
      </c>
      <c r="D180" s="879"/>
      <c r="E180" s="879"/>
      <c r="F180" s="879"/>
      <c r="G180" s="879"/>
      <c r="H180" s="27" t="s">
        <v>1509</v>
      </c>
      <c r="I180" s="1532" t="s">
        <v>850</v>
      </c>
      <c r="J180" s="24"/>
      <c r="K180" s="24" t="s">
        <v>1510</v>
      </c>
      <c r="L180" s="20" t="s">
        <v>1494</v>
      </c>
      <c r="R180" s="641"/>
    </row>
    <row r="181" spans="1:27" ht="29.25" customHeight="1">
      <c r="A181" s="871" t="s">
        <v>1508</v>
      </c>
      <c r="B181" s="872"/>
      <c r="C181" s="879" t="s">
        <v>1511</v>
      </c>
      <c r="D181" s="879"/>
      <c r="E181" s="879"/>
      <c r="F181" s="879"/>
      <c r="G181" s="879"/>
      <c r="H181" s="27" t="s">
        <v>1512</v>
      </c>
      <c r="I181" s="1532" t="s">
        <v>850</v>
      </c>
      <c r="J181" s="24"/>
      <c r="K181" s="24"/>
      <c r="L181" s="20" t="s">
        <v>1494</v>
      </c>
      <c r="R181" s="641"/>
    </row>
    <row r="182" spans="1:27" s="204" customFormat="1">
      <c r="A182" s="880" t="s">
        <v>1513</v>
      </c>
      <c r="B182" s="881"/>
      <c r="C182" s="882" t="s">
        <v>1514</v>
      </c>
      <c r="D182" s="882"/>
      <c r="E182" s="882"/>
      <c r="F182" s="882"/>
      <c r="G182" s="882"/>
      <c r="H182" s="203"/>
      <c r="I182" s="1533" t="s">
        <v>850</v>
      </c>
      <c r="J182" s="207"/>
      <c r="K182" s="207" t="s">
        <v>1515</v>
      </c>
      <c r="L182" s="208" t="s">
        <v>1516</v>
      </c>
      <c r="O182" s="655"/>
      <c r="P182" s="655"/>
      <c r="R182" s="655"/>
      <c r="X182" s="205"/>
      <c r="Y182" s="563"/>
      <c r="Z182" s="205"/>
      <c r="AA182" s="205"/>
    </row>
  </sheetData>
  <autoFilter ref="A6:AL43" xr:uid="{00000000-0001-0000-0200-000000000000}"/>
  <mergeCells count="20">
    <mergeCell ref="A7:A43"/>
    <mergeCell ref="B7:B38"/>
    <mergeCell ref="B39:B41"/>
    <mergeCell ref="A45:A156"/>
    <mergeCell ref="E2:J2"/>
    <mergeCell ref="A1:A4"/>
    <mergeCell ref="A5:C5"/>
    <mergeCell ref="F45:F48"/>
    <mergeCell ref="C45:C48"/>
    <mergeCell ref="I45:I156"/>
    <mergeCell ref="AC158:AC160"/>
    <mergeCell ref="A157:A164"/>
    <mergeCell ref="B158:B160"/>
    <mergeCell ref="I158:I159"/>
    <mergeCell ref="C158:C159"/>
    <mergeCell ref="D158:D159"/>
    <mergeCell ref="E158:E159"/>
    <mergeCell ref="H158:H159"/>
    <mergeCell ref="G158:G159"/>
    <mergeCell ref="F158:F160"/>
  </mergeCells>
  <conditionalFormatting sqref="X23:X27 X12:X21">
    <cfRule type="containsText" dxfId="190" priority="73" operator="containsText" text="BAJO">
      <formula>NOT(ISERROR(SEARCH("BAJO",X12)))</formula>
    </cfRule>
    <cfRule type="containsText" dxfId="189" priority="74" operator="containsText" text="MEDIO">
      <formula>NOT(ISERROR(SEARCH("MEDIO",X12)))</formula>
    </cfRule>
    <cfRule type="containsText" dxfId="188" priority="75" operator="containsText" text="ALTO">
      <formula>NOT(ISERROR(SEARCH("ALTO",X12)))</formula>
    </cfRule>
    <cfRule type="containsText" dxfId="187" priority="76" operator="containsText" text="DAR DE BAJA">
      <formula>NOT(ISERROR(SEARCH("DAR DE BAJA",X12)))</formula>
    </cfRule>
  </conditionalFormatting>
  <conditionalFormatting sqref="X26 AA26 X27:AA30 X51:Y52 X67:AA73 X95:AA95 X103:AA113 Y114:AA135 X117:AA118 Z120:AA164 Z51:AA57 X119:X135 X131:AA134 X156:Y156 X33:AA38 X137:AA155 X7:AA25">
    <cfRule type="containsText" dxfId="186" priority="216" operator="containsText" text="DAR DE BAJA">
      <formula>NOT(ISERROR(SEARCH("DAR DE BAJA",X7)))</formula>
    </cfRule>
  </conditionalFormatting>
  <conditionalFormatting sqref="X26 AA26 X27:AA30 X52:Y57 X67:AA73 X95:AA95 X112:X118 X113:AA113 X117:AA117 X157:AA157 X158:X164 Z158:AA164 X33:AA38 X7:AA25">
    <cfRule type="containsText" dxfId="185" priority="199" operator="containsText" text="ALTO">
      <formula>NOT(ISERROR(SEARCH("ALTO",X7)))</formula>
    </cfRule>
  </conditionalFormatting>
  <conditionalFormatting sqref="X30">
    <cfRule type="containsText" dxfId="184" priority="24" operator="containsText" text="BAJO">
      <formula>NOT(ISERROR(SEARCH("BAJO",X30)))</formula>
    </cfRule>
    <cfRule type="containsText" dxfId="183" priority="25" operator="containsText" text="MEDIO">
      <formula>NOT(ISERROR(SEARCH("MEDIO",X30)))</formula>
    </cfRule>
    <cfRule type="containsText" dxfId="182" priority="26" operator="containsText" text="ALTO">
      <formula>NOT(ISERROR(SEARCH("ALTO",X30)))</formula>
    </cfRule>
    <cfRule type="containsText" dxfId="181" priority="27" operator="containsText" text="DAR DE BAJA">
      <formula>NOT(ISERROR(SEARCH("DAR DE BAJA",X30)))</formula>
    </cfRule>
  </conditionalFormatting>
  <conditionalFormatting sqref="X37">
    <cfRule type="containsText" dxfId="180" priority="69" operator="containsText" text="BAJO">
      <formula>NOT(ISERROR(SEARCH("BAJO",X37)))</formula>
    </cfRule>
    <cfRule type="containsText" dxfId="179" priority="70" operator="containsText" text="MEDIO">
      <formula>NOT(ISERROR(SEARCH("MEDIO",X37)))</formula>
    </cfRule>
    <cfRule type="containsText" dxfId="178" priority="71" operator="containsText" text="ALTO">
      <formula>NOT(ISERROR(SEARCH("ALTO",X37)))</formula>
    </cfRule>
    <cfRule type="containsText" dxfId="177" priority="72" operator="containsText" text="DAR DE BAJA">
      <formula>NOT(ISERROR(SEARCH("DAR DE BAJA",X37)))</formula>
    </cfRule>
  </conditionalFormatting>
  <conditionalFormatting sqref="X152 X33:AA38 Z120:AA156 X7:AA25">
    <cfRule type="containsText" dxfId="176" priority="46" operator="containsText" text="MEDIO">
      <formula>NOT(ISERROR(SEARCH("MEDIO",X7)))</formula>
    </cfRule>
  </conditionalFormatting>
  <conditionalFormatting sqref="X152 X33:AA38 X7:AA25">
    <cfRule type="containsText" dxfId="175" priority="45" operator="containsText" text="BAJO">
      <formula>NOT(ISERROR(SEARCH("BAJO",X7)))</formula>
    </cfRule>
  </conditionalFormatting>
  <conditionalFormatting sqref="X39:Y41 Z40:AA41 X42:AA42 X43:Y43 Z43:AA44 X44 X45:AA45 X54:Y54 X78:X79 Z78:AA87 X80:Y87 X88:AA89 X91:AA95 Z96:AA96 X98:AA102 X124 X125:Y125 X128 X137 X26 AA26 Y114:AA118 X27:AA30 X140:AA155">
    <cfRule type="containsText" dxfId="174" priority="221" operator="containsText" text="BAJO">
      <formula>NOT(ISERROR(SEARCH("BAJO",X26)))</formula>
    </cfRule>
  </conditionalFormatting>
  <conditionalFormatting sqref="X39:Y41 Z40:AA41 X42:AA42 X43:Y43 Z43:AA44 X44 X45:AA45 X54:Y54 X78:X79 Z78:AA87 X80:Y87 X88:AA89 X91:AA95 Z96:AA96 X98:AA102 Y114:AA118 X124 X125:Y125 X128 X137 X140:AA143">
    <cfRule type="containsText" dxfId="173" priority="222" operator="containsText" text="MEDIO">
      <formula>NOT(ISERROR(SEARCH("MEDIO",X39)))</formula>
    </cfRule>
    <cfRule type="containsText" dxfId="172" priority="223" operator="containsText" text="ALTO">
      <formula>NOT(ISERROR(SEARCH("ALTO",X39)))</formula>
    </cfRule>
  </conditionalFormatting>
  <conditionalFormatting sqref="X52:Y57 X67:AA73 X95:AA95 X112:X118 X113:AA113 X117:AA117 X157:AA157 X158:X164 Z158:AA164 AA26 X26 X27:AA30">
    <cfRule type="containsText" dxfId="171" priority="198" operator="containsText" text="MEDIO">
      <formula>NOT(ISERROR(SEARCH("MEDIO",X26)))</formula>
    </cfRule>
  </conditionalFormatting>
  <conditionalFormatting sqref="X119:Y139">
    <cfRule type="containsText" dxfId="170" priority="36" operator="containsText" text="BAJO">
      <formula>NOT(ISERROR(SEARCH("BAJO",X119)))</formula>
    </cfRule>
  </conditionalFormatting>
  <conditionalFormatting sqref="X136:Y136">
    <cfRule type="containsText" dxfId="169" priority="28" operator="containsText" text="DAR DE BAJA">
      <formula>NOT(ISERROR(SEARCH("DAR DE BAJA",X136)))</formula>
    </cfRule>
    <cfRule type="containsText" dxfId="168" priority="29" operator="containsText" text="BAJO">
      <formula>NOT(ISERROR(SEARCH("BAJO",X136)))</formula>
    </cfRule>
    <cfRule type="containsText" dxfId="167" priority="30" operator="containsText" text="MEDIO">
      <formula>NOT(ISERROR(SEARCH("MEDIO",X136)))</formula>
    </cfRule>
    <cfRule type="containsText" dxfId="166" priority="31" operator="containsText" text="ALTO">
      <formula>NOT(ISERROR(SEARCH("ALTO",X136)))</formula>
    </cfRule>
    <cfRule type="containsText" dxfId="165" priority="32" operator="containsText" text="BAJO">
      <formula>NOT(ISERROR(SEARCH("BAJO",X136)))</formula>
    </cfRule>
    <cfRule type="containsText" dxfId="164" priority="33" operator="containsText" text="MEDIO">
      <formula>NOT(ISERROR(SEARCH("MEDIO",X136)))</formula>
    </cfRule>
    <cfRule type="containsText" dxfId="163" priority="34" operator="containsText" text="ALTO">
      <formula>NOT(ISERROR(SEARCH("ALTO",X136)))</formula>
    </cfRule>
    <cfRule type="containsText" dxfId="162" priority="35" operator="containsText" text="DAR DE BAJA">
      <formula>NOT(ISERROR(SEARCH("DAR DE BAJA",X136)))</formula>
    </cfRule>
    <cfRule type="containsText" dxfId="161" priority="37" operator="containsText" text="MEDIO">
      <formula>NOT(ISERROR(SEARCH("MEDIO",X136)))</formula>
    </cfRule>
    <cfRule type="containsText" dxfId="160" priority="38" operator="containsText" text="ALTO">
      <formula>NOT(ISERROR(SEARCH("ALTO",X136)))</formula>
    </cfRule>
  </conditionalFormatting>
  <conditionalFormatting sqref="X26 AA26 X46:AA50 X51:Y52 Z51:AA57 X58:AA76 X77 Z77:AA77 Y77:Y87 Y92:Y111 X95:AA95 X104:AA113 Y114:Y118 Z115:AA139 X117:AA118 X119:Y135 X131:AA134 X137:Y139 X156:Y156 Z156:AA164 X144:AA155">
    <cfRule type="containsText" dxfId="159" priority="219" operator="containsText" text="ALTO">
      <formula>NOT(ISERROR(SEARCH("ALTO",X26)))</formula>
    </cfRule>
  </conditionalFormatting>
  <conditionalFormatting sqref="X45:AA50 X58:AA89 X91:AA95 X98:AA102 X124:X125 X128 X137 X54:Y54 X39:Y41 Z40:AA41 X42:AA42 X43:Y43 Z43:AA44 X44 Z96:AA96">
    <cfRule type="containsText" dxfId="158" priority="220" operator="containsText" text="DAR DE BAJA">
      <formula>NOT(ISERROR(SEARCH("DAR DE BAJA",X39)))</formula>
    </cfRule>
  </conditionalFormatting>
  <conditionalFormatting sqref="X46:AA57 X67:AA73 Y92:Y118 X95:AA95 X104:AA113 X114:X118 Z115:AA139 X117:AA118 Z156:AA164 X157:AA157 X158:X164 X131:AA134 X156:Y156">
    <cfRule type="containsText" dxfId="157" priority="197" operator="containsText" text="BAJO">
      <formula>NOT(ISERROR(SEARCH("BAJO",X46)))</formula>
    </cfRule>
  </conditionalFormatting>
  <conditionalFormatting sqref="X58:AA76 X77 Z77:AA77 Y77:Y87 X7:AA8 X19:AA20 X25:AA25 X26 AA26 X51:Y52 Z51:AA57 Y92:Y111 X95:AA95 X104:AA113 Y114:Y118 Z115:AA139 X117:AA118 X119:Y135 X131:AA134 X137:Y139 X156:Y156 Z156:AA164 X46:AA50 X144:AA155">
    <cfRule type="containsText" dxfId="156" priority="218" operator="containsText" text="MEDIO">
      <formula>NOT(ISERROR(SEARCH("MEDIO",X7)))</formula>
    </cfRule>
  </conditionalFormatting>
  <conditionalFormatting sqref="X58:AA76 Y77:Y87 X77 Z77:AA77">
    <cfRule type="containsText" dxfId="155" priority="217" operator="containsText" text="BAJO">
      <formula>NOT(ISERROR(SEARCH("BAJO",X58)))</formula>
    </cfRule>
  </conditionalFormatting>
  <conditionalFormatting sqref="X59:AA60">
    <cfRule type="containsText" dxfId="154" priority="65" operator="containsText" text="DAR DE BAJA">
      <formula>NOT(ISERROR(SEARCH("DAR DE BAJA",X59)))</formula>
    </cfRule>
    <cfRule type="containsText" dxfId="153" priority="66" operator="containsText" text="BAJO">
      <formula>NOT(ISERROR(SEARCH("BAJO",X59)))</formula>
    </cfRule>
    <cfRule type="containsText" dxfId="152" priority="67" operator="containsText" text="MEDIO">
      <formula>NOT(ISERROR(SEARCH("MEDIO",X59)))</formula>
    </cfRule>
    <cfRule type="containsText" dxfId="151" priority="68" operator="containsText" text="ALTO">
      <formula>NOT(ISERROR(SEARCH("ALTO",X59)))</formula>
    </cfRule>
  </conditionalFormatting>
  <conditionalFormatting sqref="X81:AA81">
    <cfRule type="containsText" dxfId="150" priority="208" operator="containsText" text="DAR DE BAJA">
      <formula>NOT(ISERROR(SEARCH("DAR DE BAJA",X81)))</formula>
    </cfRule>
    <cfRule type="containsText" dxfId="149" priority="209" operator="containsText" text="BAJO">
      <formula>NOT(ISERROR(SEARCH("BAJO",X81)))</formula>
    </cfRule>
    <cfRule type="containsText" dxfId="148" priority="210" operator="containsText" text="MEDIO">
      <formula>NOT(ISERROR(SEARCH("MEDIO",X81)))</formula>
    </cfRule>
    <cfRule type="containsText" dxfId="147" priority="211" operator="containsText" text="ALTO">
      <formula>NOT(ISERROR(SEARCH("ALTO",X81)))</formula>
    </cfRule>
  </conditionalFormatting>
  <conditionalFormatting sqref="X90:AA90">
    <cfRule type="containsText" dxfId="146" priority="133" operator="containsText" text="DAR DE BAJA">
      <formula>NOT(ISERROR(SEARCH("DAR DE BAJA",X90)))</formula>
    </cfRule>
    <cfRule type="containsText" dxfId="145" priority="134" operator="containsText" text="BAJO">
      <formula>NOT(ISERROR(SEARCH("BAJO",X90)))</formula>
    </cfRule>
    <cfRule type="containsText" dxfId="144" priority="135" operator="containsText" text="MEDIO">
      <formula>NOT(ISERROR(SEARCH("MEDIO",X90)))</formula>
    </cfRule>
    <cfRule type="containsText" dxfId="143" priority="136" operator="containsText" text="ALTO">
      <formula>NOT(ISERROR(SEARCH("ALTO",X90)))</formula>
    </cfRule>
  </conditionalFormatting>
  <conditionalFormatting sqref="X103:AA103 Z118:AA118">
    <cfRule type="containsText" dxfId="142" priority="130" operator="containsText" text="BAJO">
      <formula>NOT(ISERROR(SEARCH("BAJO",X103)))</formula>
    </cfRule>
    <cfRule type="containsText" dxfId="141" priority="131" operator="containsText" text="MEDIO">
      <formula>NOT(ISERROR(SEARCH("MEDIO",X103)))</formula>
    </cfRule>
    <cfRule type="containsText" dxfId="140" priority="132" operator="containsText" text="ALTO">
      <formula>NOT(ISERROR(SEARCH("ALTO",X103)))</formula>
    </cfRule>
  </conditionalFormatting>
  <conditionalFormatting sqref="X113:AA113 X52:Y57 X67:AA73 X95:AA95 X112:X118 X117:AA117 X157:AA157 X158:X164 Z158:AA164">
    <cfRule type="containsText" dxfId="139" priority="196" operator="containsText" text="DAR DE BAJA">
      <formula>NOT(ISERROR(SEARCH("DAR DE BAJA",X52)))</formula>
    </cfRule>
  </conditionalFormatting>
  <conditionalFormatting sqref="X152:AA152">
    <cfRule type="containsText" dxfId="138" priority="48" operator="containsText" text="DAR DE BAJA">
      <formula>NOT(ISERROR(SEARCH("DAR DE BAJA",X152)))</formula>
    </cfRule>
    <cfRule type="containsText" dxfId="137" priority="55" operator="containsText" text="MEDIO">
      <formula>NOT(ISERROR(SEARCH("MEDIO",X152)))</formula>
    </cfRule>
    <cfRule type="containsText" dxfId="136" priority="56" operator="containsText" text="ALTO">
      <formula>NOT(ISERROR(SEARCH("ALTO",X152)))</formula>
    </cfRule>
  </conditionalFormatting>
  <conditionalFormatting sqref="Y158:Y161">
    <cfRule type="containsText" dxfId="135" priority="173" operator="containsText" text="DAR DE BAJA">
      <formula>NOT(ISERROR(SEARCH("DAR DE BAJA",Y158)))</formula>
    </cfRule>
    <cfRule type="containsText" dxfId="134" priority="174" operator="containsText" text="BAJO">
      <formula>NOT(ISERROR(SEARCH("BAJO",Y158)))</formula>
    </cfRule>
    <cfRule type="containsText" dxfId="133" priority="175" operator="containsText" text="MEDIO">
      <formula>NOT(ISERROR(SEARCH("MEDIO",Y158)))</formula>
    </cfRule>
    <cfRule type="containsText" dxfId="132" priority="176" operator="containsText" text="ALTO">
      <formula>NOT(ISERROR(SEARCH("ALTO",Y158)))</formula>
    </cfRule>
  </conditionalFormatting>
  <conditionalFormatting sqref="Y158:Y162">
    <cfRule type="containsText" dxfId="131" priority="167" operator="containsText" text="BAJO">
      <formula>NOT(ISERROR(SEARCH("BAJO",Y158)))</formula>
    </cfRule>
    <cfRule type="containsText" dxfId="130" priority="168" operator="containsText" text="MEDIO">
      <formula>NOT(ISERROR(SEARCH("MEDIO",Y158)))</formula>
    </cfRule>
    <cfRule type="containsText" dxfId="129" priority="169" operator="containsText" text="ALTO">
      <formula>NOT(ISERROR(SEARCH("ALTO",Y158)))</formula>
    </cfRule>
  </conditionalFormatting>
  <conditionalFormatting sqref="Y162">
    <cfRule type="containsText" dxfId="128" priority="166" operator="containsText" text="DAR DE BAJA">
      <formula>NOT(ISERROR(SEARCH("DAR DE BAJA",Y162)))</formula>
    </cfRule>
  </conditionalFormatting>
  <conditionalFormatting sqref="Y162:Y163">
    <cfRule type="containsText" dxfId="127" priority="160" operator="containsText" text="BAJO">
      <formula>NOT(ISERROR(SEARCH("BAJO",Y162)))</formula>
    </cfRule>
    <cfRule type="containsText" dxfId="126" priority="161" operator="containsText" text="MEDIO">
      <formula>NOT(ISERROR(SEARCH("MEDIO",Y162)))</formula>
    </cfRule>
    <cfRule type="containsText" dxfId="125" priority="162" operator="containsText" text="ALTO">
      <formula>NOT(ISERROR(SEARCH("ALTO",Y162)))</formula>
    </cfRule>
  </conditionalFormatting>
  <conditionalFormatting sqref="Y163">
    <cfRule type="containsText" dxfId="124" priority="159" operator="containsText" text="DAR DE BAJA">
      <formula>NOT(ISERROR(SEARCH("DAR DE BAJA",Y163)))</formula>
    </cfRule>
  </conditionalFormatting>
  <conditionalFormatting sqref="Y163:Y164">
    <cfRule type="containsText" dxfId="123" priority="153" operator="containsText" text="BAJO">
      <formula>NOT(ISERROR(SEARCH("BAJO",Y163)))</formula>
    </cfRule>
    <cfRule type="containsText" dxfId="122" priority="154" operator="containsText" text="MEDIO">
      <formula>NOT(ISERROR(SEARCH("MEDIO",Y163)))</formula>
    </cfRule>
    <cfRule type="containsText" dxfId="121" priority="155" operator="containsText" text="ALTO">
      <formula>NOT(ISERROR(SEARCH("ALTO",Y163)))</formula>
    </cfRule>
  </conditionalFormatting>
  <conditionalFormatting sqref="Y164">
    <cfRule type="containsText" dxfId="120" priority="149" operator="containsText" text="BAJO">
      <formula>NOT(ISERROR(SEARCH("BAJO",Y164)))</formula>
    </cfRule>
    <cfRule type="containsText" dxfId="119" priority="150" operator="containsText" text="MEDIO">
      <formula>NOT(ISERROR(SEARCH("MEDIO",Y164)))</formula>
    </cfRule>
    <cfRule type="containsText" dxfId="118" priority="151" operator="containsText" text="ALTO">
      <formula>NOT(ISERROR(SEARCH("ALTO",Y164)))</formula>
    </cfRule>
    <cfRule type="containsText" dxfId="117" priority="152" operator="containsText" text="DAR DE BAJA">
      <formula>NOT(ISERROR(SEARCH("DAR DE BAJA",Y164)))</formula>
    </cfRule>
  </conditionalFormatting>
  <conditionalFormatting sqref="Z19:AA20 Z25:AA25 AA26 X96:Y97">
    <cfRule type="containsText" dxfId="116" priority="121" operator="containsText" text="DAR DE BAJA">
      <formula>NOT(ISERROR(SEARCH("DAR DE BAJA",X19)))</formula>
    </cfRule>
    <cfRule type="containsText" dxfId="115" priority="122" operator="containsText" text="BAJO">
      <formula>NOT(ISERROR(SEARCH("BAJO",X19)))</formula>
    </cfRule>
    <cfRule type="containsText" dxfId="114" priority="123" operator="containsText" text="MEDIO">
      <formula>NOT(ISERROR(SEARCH("MEDIO",X19)))</formula>
    </cfRule>
    <cfRule type="containsText" dxfId="113" priority="124" operator="containsText" text="ALTO">
      <formula>NOT(ISERROR(SEARCH("ALTO",X19)))</formula>
    </cfRule>
  </conditionalFormatting>
  <conditionalFormatting sqref="Z101:AA103">
    <cfRule type="containsText" dxfId="112" priority="125" operator="containsText" text="DAR DE BAJA">
      <formula>NOT(ISERROR(SEARCH("DAR DE BAJA",Z101)))</formula>
    </cfRule>
  </conditionalFormatting>
  <conditionalFormatting sqref="Z101:AA114">
    <cfRule type="containsText" dxfId="111" priority="126" operator="containsText" text="BAJO">
      <formula>NOT(ISERROR(SEARCH("BAJO",Z101)))</formula>
    </cfRule>
    <cfRule type="containsText" dxfId="110" priority="127" operator="containsText" text="MEDIO">
      <formula>NOT(ISERROR(SEARCH("MEDIO",Z101)))</formula>
    </cfRule>
    <cfRule type="containsText" dxfId="109" priority="128" operator="containsText" text="ALTO">
      <formula>NOT(ISERROR(SEARCH("ALTO",Z101)))</formula>
    </cfRule>
  </conditionalFormatting>
  <conditionalFormatting sqref="X152 Z120:AA156">
    <cfRule type="containsText" dxfId="108" priority="47" operator="containsText" text="ALTO">
      <formula>NOT(ISERROR(SEARCH("ALTO",X120)))</formula>
    </cfRule>
  </conditionalFormatting>
  <conditionalFormatting sqref="Z120:AA156">
    <cfRule type="containsText" dxfId="107" priority="43" operator="containsText" text="BAJO">
      <formula>NOT(ISERROR(SEARCH("BAJO",Z120)))</formula>
    </cfRule>
  </conditionalFormatting>
  <conditionalFormatting sqref="Z152:AA152">
    <cfRule type="containsText" dxfId="106" priority="39" operator="containsText" text="DAR DE BAJA">
      <formula>NOT(ISERROR(SEARCH("DAR DE BAJA",Z152)))</formula>
    </cfRule>
    <cfRule type="containsText" dxfId="105" priority="40" operator="containsText" text="BAJO">
      <formula>NOT(ISERROR(SEARCH("BAJO",Z152)))</formula>
    </cfRule>
    <cfRule type="containsText" dxfId="104" priority="41" operator="containsText" text="MEDIO">
      <formula>NOT(ISERROR(SEARCH("MEDIO",Z152)))</formula>
    </cfRule>
    <cfRule type="containsText" dxfId="103" priority="42" operator="containsText" text="ALTO">
      <formula>NOT(ISERROR(SEARCH("ALTO",Z152)))</formula>
    </cfRule>
  </conditionalFormatting>
  <conditionalFormatting sqref="X31:AA32">
    <cfRule type="containsText" dxfId="102" priority="22" operator="containsText" text="DAR DE BAJA">
      <formula>NOT(ISERROR(SEARCH("DAR DE BAJA",X31)))</formula>
    </cfRule>
  </conditionalFormatting>
  <conditionalFormatting sqref="X31:AA32">
    <cfRule type="containsText" dxfId="101" priority="21" operator="containsText" text="ALTO">
      <formula>NOT(ISERROR(SEARCH("ALTO",X31)))</formula>
    </cfRule>
  </conditionalFormatting>
  <conditionalFormatting sqref="X31:X32">
    <cfRule type="containsText" dxfId="100" priority="16" operator="containsText" text="BAJO">
      <formula>NOT(ISERROR(SEARCH("BAJO",X31)))</formula>
    </cfRule>
    <cfRule type="containsText" dxfId="99" priority="17" operator="containsText" text="MEDIO">
      <formula>NOT(ISERROR(SEARCH("MEDIO",X31)))</formula>
    </cfRule>
    <cfRule type="containsText" dxfId="98" priority="18" operator="containsText" text="ALTO">
      <formula>NOT(ISERROR(SEARCH("ALTO",X31)))</formula>
    </cfRule>
    <cfRule type="containsText" dxfId="97" priority="19" operator="containsText" text="DAR DE BAJA">
      <formula>NOT(ISERROR(SEARCH("DAR DE BAJA",X31)))</formula>
    </cfRule>
  </conditionalFormatting>
  <conditionalFormatting sqref="X31:AA32">
    <cfRule type="containsText" dxfId="96" priority="23" operator="containsText" text="BAJO">
      <formula>NOT(ISERROR(SEARCH("BAJO",X31)))</formula>
    </cfRule>
  </conditionalFormatting>
  <conditionalFormatting sqref="X31:AA32">
    <cfRule type="containsText" dxfId="95" priority="20" operator="containsText" text="MEDIO">
      <formula>NOT(ISERROR(SEARCH("MEDIO",X31)))</formula>
    </cfRule>
  </conditionalFormatting>
  <conditionalFormatting sqref="Y12">
    <cfRule type="containsText" dxfId="94" priority="15" operator="containsText" text="MEDIO">
      <formula>NOT(ISERROR(SEARCH("MEDIO",Y12)))</formula>
    </cfRule>
  </conditionalFormatting>
  <conditionalFormatting sqref="Y13">
    <cfRule type="containsText" dxfId="93" priority="14" operator="containsText" text="MEDIO">
      <formula>NOT(ISERROR(SEARCH("MEDIO",Y13)))</formula>
    </cfRule>
  </conditionalFormatting>
  <conditionalFormatting sqref="Y24">
    <cfRule type="containsText" dxfId="92" priority="6" operator="containsText" text="BAJO">
      <formula>NOT(ISERROR(SEARCH("BAJO",Y24)))</formula>
    </cfRule>
  </conditionalFormatting>
  <conditionalFormatting sqref="Y24">
    <cfRule type="containsText" dxfId="91" priority="5" operator="containsText" text="MEDIO">
      <formula>NOT(ISERROR(SEARCH("MEDIO",Y24)))</formula>
    </cfRule>
  </conditionalFormatting>
  <conditionalFormatting sqref="X142">
    <cfRule type="containsText" dxfId="90" priority="1" operator="containsText" text="BAJO">
      <formula>NOT(ISERROR(SEARCH("BAJO",X142)))</formula>
    </cfRule>
  </conditionalFormatting>
  <conditionalFormatting sqref="X142">
    <cfRule type="containsText" dxfId="89" priority="3" operator="containsText" text="ALTO">
      <formula>NOT(ISERROR(SEARCH("ALTO",X142)))</formula>
    </cfRule>
  </conditionalFormatting>
  <conditionalFormatting sqref="X142">
    <cfRule type="containsText" dxfId="88" priority="4" operator="containsText" text="DAR DE BAJA">
      <formula>NOT(ISERROR(SEARCH("DAR DE BAJA",X142)))</formula>
    </cfRule>
  </conditionalFormatting>
  <conditionalFormatting sqref="X142">
    <cfRule type="containsText" dxfId="87" priority="2" operator="containsText" text="MEDIO">
      <formula>NOT(ISERROR(SEARCH("MEDIO",X142)))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181"/>
  <sheetViews>
    <sheetView topLeftCell="I1" zoomScale="115" zoomScaleNormal="115" workbookViewId="0">
      <pane ySplit="6" topLeftCell="A179" activePane="bottomLeft" state="frozen"/>
      <selection pane="bottomLeft" activeCell="L21" sqref="L21"/>
    </sheetView>
  </sheetViews>
  <sheetFormatPr defaultColWidth="11.42578125" defaultRowHeight="15" customHeight="1"/>
  <cols>
    <col min="1" max="1" width="7.5703125" bestFit="1" customWidth="1"/>
    <col min="2" max="2" width="14.85546875" customWidth="1"/>
    <col min="3" max="5" width="17.5703125" customWidth="1"/>
    <col min="6" max="6" width="17.42578125" customWidth="1"/>
    <col min="7" max="7" width="28.140625" customWidth="1"/>
    <col min="8" max="8" width="17.140625" customWidth="1"/>
    <col min="9" max="9" width="17.5703125" customWidth="1"/>
    <col min="10" max="10" width="16" customWidth="1"/>
    <col min="11" max="11" width="19.140625" customWidth="1"/>
    <col min="12" max="12" width="56.140625" customWidth="1"/>
    <col min="13" max="13" width="18.5703125" customWidth="1"/>
    <col min="14" max="14" width="20.5703125" customWidth="1"/>
    <col min="15" max="15" width="7.85546875" style="641" customWidth="1"/>
    <col min="16" max="16" width="9.5703125" style="641" customWidth="1"/>
    <col min="17" max="17" width="29.42578125" customWidth="1"/>
    <col min="18" max="18" width="17.85546875" customWidth="1"/>
    <col min="19" max="19" width="10.140625" customWidth="1"/>
    <col min="20" max="20" width="12.5703125" customWidth="1"/>
    <col min="21" max="22" width="11.5703125" customWidth="1"/>
    <col min="23" max="23" width="15.42578125" style="1" customWidth="1"/>
    <col min="24" max="24" width="24.5703125" style="31" customWidth="1"/>
    <col min="25" max="25" width="10" style="1" customWidth="1"/>
    <col min="26" max="26" width="12.5703125" style="1" customWidth="1"/>
    <col min="27" max="27" width="13" customWidth="1"/>
    <col min="28" max="28" width="26.5703125" bestFit="1" customWidth="1"/>
    <col min="29" max="30" width="18.5703125" customWidth="1"/>
    <col min="31" max="31" width="32.42578125" customWidth="1"/>
    <col min="32" max="32" width="57.5703125" customWidth="1"/>
  </cols>
  <sheetData>
    <row r="2" spans="1:32" ht="18.75" customHeight="1">
      <c r="A2" s="1679" t="s">
        <v>1517</v>
      </c>
      <c r="B2" s="1679"/>
      <c r="C2" s="1679"/>
      <c r="D2" s="1679"/>
      <c r="E2" s="1679"/>
      <c r="F2" s="1679"/>
      <c r="G2" s="1679"/>
      <c r="H2" s="1679"/>
      <c r="I2" s="1679"/>
      <c r="J2" s="1679"/>
      <c r="K2" s="1679"/>
      <c r="L2" s="1679"/>
      <c r="M2" s="1679"/>
      <c r="N2" s="1679"/>
      <c r="O2" s="1679"/>
      <c r="P2" s="1679"/>
      <c r="Q2" s="1679"/>
      <c r="R2" s="1679"/>
      <c r="S2" s="1679"/>
      <c r="T2" s="1679"/>
      <c r="U2" s="1679"/>
      <c r="V2" s="1679"/>
      <c r="W2" s="1679"/>
      <c r="X2" s="1679"/>
      <c r="Y2" s="1679"/>
      <c r="Z2" s="1679"/>
      <c r="AA2" s="1679"/>
      <c r="AB2" s="28"/>
    </row>
    <row r="3" spans="1:32" ht="21">
      <c r="A3" s="1679"/>
      <c r="B3" s="1679"/>
      <c r="C3" s="1679"/>
      <c r="D3" s="1679"/>
      <c r="E3" s="1679"/>
      <c r="F3" s="1679"/>
      <c r="G3" s="1679"/>
      <c r="H3" s="1679"/>
      <c r="I3" s="1679"/>
      <c r="J3" s="1679"/>
      <c r="K3" s="1679"/>
      <c r="L3" s="1679"/>
      <c r="M3" s="1679"/>
      <c r="N3" s="1679"/>
      <c r="O3" s="1679"/>
      <c r="P3" s="1679"/>
      <c r="Q3" s="1679"/>
      <c r="R3" s="1679"/>
      <c r="S3" s="1679"/>
      <c r="T3" s="1679"/>
      <c r="U3" s="1679"/>
      <c r="V3" s="1679"/>
      <c r="W3" s="1679"/>
      <c r="X3" s="1679"/>
      <c r="Y3" s="1679"/>
      <c r="Z3" s="1679"/>
      <c r="AA3" s="1679"/>
      <c r="AB3" s="28"/>
    </row>
    <row r="5" spans="1:32">
      <c r="A5" s="26" t="s">
        <v>1518</v>
      </c>
      <c r="B5" s="26"/>
      <c r="H5" s="26" t="s">
        <v>849</v>
      </c>
      <c r="I5" s="26" t="s">
        <v>850</v>
      </c>
      <c r="J5" s="26"/>
    </row>
    <row r="6" spans="1:32" s="198" customFormat="1" ht="46.5" customHeight="1">
      <c r="A6" s="535"/>
      <c r="B6" s="535" t="s">
        <v>4</v>
      </c>
      <c r="C6" s="535" t="s">
        <v>5</v>
      </c>
      <c r="D6" s="535" t="s">
        <v>6</v>
      </c>
      <c r="E6" s="535" t="s">
        <v>851</v>
      </c>
      <c r="F6" s="535" t="s">
        <v>8</v>
      </c>
      <c r="G6" s="535" t="s">
        <v>9</v>
      </c>
      <c r="H6" s="535" t="s">
        <v>10</v>
      </c>
      <c r="I6" s="535" t="s">
        <v>11</v>
      </c>
      <c r="J6" s="535" t="s">
        <v>12</v>
      </c>
      <c r="K6" s="535" t="s">
        <v>13</v>
      </c>
      <c r="L6" s="535" t="s">
        <v>14</v>
      </c>
      <c r="M6" s="535" t="s">
        <v>15</v>
      </c>
      <c r="N6" s="535" t="s">
        <v>16</v>
      </c>
      <c r="O6" s="642" t="s">
        <v>17</v>
      </c>
      <c r="P6" s="642" t="s">
        <v>18</v>
      </c>
      <c r="Q6" s="535" t="s">
        <v>19</v>
      </c>
      <c r="R6" s="535" t="s">
        <v>21</v>
      </c>
      <c r="S6" s="535" t="s">
        <v>22</v>
      </c>
      <c r="T6" s="535" t="s">
        <v>23</v>
      </c>
      <c r="U6" s="535" t="s">
        <v>24</v>
      </c>
      <c r="V6" s="535" t="s">
        <v>25</v>
      </c>
      <c r="W6" s="536" t="s">
        <v>852</v>
      </c>
      <c r="X6" s="536" t="s">
        <v>26</v>
      </c>
      <c r="Y6" s="536" t="s">
        <v>27</v>
      </c>
      <c r="Z6" s="536" t="s">
        <v>28</v>
      </c>
      <c r="AA6" s="535" t="s">
        <v>29</v>
      </c>
      <c r="AB6" s="535" t="s">
        <v>30</v>
      </c>
      <c r="AC6" s="537" t="s">
        <v>31</v>
      </c>
      <c r="AD6" s="537" t="s">
        <v>32</v>
      </c>
      <c r="AE6" s="1331" t="s">
        <v>33</v>
      </c>
      <c r="AF6" s="537" t="s">
        <v>853</v>
      </c>
    </row>
    <row r="7" spans="1:32" ht="14.45" customHeight="1">
      <c r="A7" s="1694" t="s">
        <v>1519</v>
      </c>
      <c r="B7" s="1702" t="s">
        <v>1520</v>
      </c>
      <c r="C7" s="5" t="s">
        <v>856</v>
      </c>
      <c r="D7" s="5" t="s">
        <v>46</v>
      </c>
      <c r="E7" s="5" t="s">
        <v>1521</v>
      </c>
      <c r="F7" s="1700">
        <v>3</v>
      </c>
      <c r="G7" s="6" t="s">
        <v>1522</v>
      </c>
      <c r="H7" s="6" t="s">
        <v>48</v>
      </c>
      <c r="I7" s="1697"/>
      <c r="J7" s="1705"/>
      <c r="K7" s="1697"/>
      <c r="L7" s="1710"/>
      <c r="M7" s="1707"/>
      <c r="N7" s="15"/>
      <c r="O7" s="638"/>
      <c r="P7" s="638"/>
      <c r="Q7" s="1707"/>
      <c r="R7" s="1707"/>
      <c r="S7" s="1707"/>
      <c r="T7" s="1707"/>
      <c r="U7" s="1707"/>
      <c r="V7" s="15"/>
      <c r="W7" s="1713"/>
      <c r="X7" s="1713" t="s">
        <v>46</v>
      </c>
      <c r="Y7" s="1713" t="s">
        <v>389</v>
      </c>
      <c r="Z7" s="1713" t="s">
        <v>389</v>
      </c>
      <c r="AA7" s="1718"/>
      <c r="AB7" s="30"/>
      <c r="AC7" s="1721"/>
      <c r="AD7" s="1723"/>
      <c r="AE7" s="1723"/>
      <c r="AF7" s="1716"/>
    </row>
    <row r="8" spans="1:32">
      <c r="A8" s="1695"/>
      <c r="B8" s="1703"/>
      <c r="C8" s="3" t="s">
        <v>856</v>
      </c>
      <c r="D8" s="3" t="s">
        <v>46</v>
      </c>
      <c r="E8" s="3" t="s">
        <v>1523</v>
      </c>
      <c r="F8" s="1701"/>
      <c r="G8" s="4" t="s">
        <v>1522</v>
      </c>
      <c r="H8" s="4" t="s">
        <v>48</v>
      </c>
      <c r="I8" s="1698"/>
      <c r="J8" s="1706"/>
      <c r="K8" s="1698"/>
      <c r="L8" s="1711"/>
      <c r="M8" s="1708"/>
      <c r="N8" s="16"/>
      <c r="O8" s="639"/>
      <c r="P8" s="639"/>
      <c r="Q8" s="1708"/>
      <c r="R8" s="1708"/>
      <c r="S8" s="1708"/>
      <c r="T8" s="1708"/>
      <c r="U8" s="1708"/>
      <c r="V8" s="16"/>
      <c r="W8" s="1714"/>
      <c r="X8" s="1714"/>
      <c r="Y8" s="1714"/>
      <c r="Z8" s="1714"/>
      <c r="AA8" s="1719"/>
      <c r="AB8" s="30"/>
      <c r="AC8" s="1721"/>
      <c r="AD8" s="1723"/>
      <c r="AE8" s="1723"/>
      <c r="AF8" s="1717"/>
    </row>
    <row r="9" spans="1:32">
      <c r="A9" s="1696"/>
      <c r="B9" s="1704"/>
      <c r="C9" s="39" t="s">
        <v>856</v>
      </c>
      <c r="D9" s="39" t="s">
        <v>46</v>
      </c>
      <c r="E9" s="39" t="s">
        <v>1524</v>
      </c>
      <c r="F9" s="1701"/>
      <c r="G9" s="40" t="s">
        <v>1522</v>
      </c>
      <c r="H9" s="40" t="s">
        <v>48</v>
      </c>
      <c r="I9" s="1699"/>
      <c r="J9" s="1706"/>
      <c r="K9" s="1699"/>
      <c r="L9" s="1712"/>
      <c r="M9" s="1709"/>
      <c r="N9" s="17"/>
      <c r="O9" s="640"/>
      <c r="P9" s="640"/>
      <c r="Q9" s="1709"/>
      <c r="R9" s="1709"/>
      <c r="S9" s="1709"/>
      <c r="T9" s="1709"/>
      <c r="U9" s="1709"/>
      <c r="V9" s="17"/>
      <c r="W9" s="1715"/>
      <c r="X9" s="1715"/>
      <c r="Y9" s="1722"/>
      <c r="Z9" s="1722"/>
      <c r="AA9" s="1720"/>
      <c r="AB9" s="30"/>
      <c r="AC9" s="1721"/>
      <c r="AD9" s="1723"/>
      <c r="AE9" s="1723"/>
      <c r="AF9" s="1717"/>
    </row>
    <row r="10" spans="1:32" ht="36">
      <c r="A10" s="1693" t="s">
        <v>1519</v>
      </c>
      <c r="B10" s="1693" t="s">
        <v>1525</v>
      </c>
      <c r="C10" s="567" t="s">
        <v>856</v>
      </c>
      <c r="D10" s="119" t="s">
        <v>857</v>
      </c>
      <c r="E10" s="777" t="s">
        <v>1526</v>
      </c>
      <c r="F10" s="1647">
        <v>2</v>
      </c>
      <c r="G10" s="298" t="s">
        <v>859</v>
      </c>
      <c r="H10" s="116" t="s">
        <v>860</v>
      </c>
      <c r="I10" s="1664">
        <f>COUNTIF(J10:J23,"=VIRTUAL")</f>
        <v>14</v>
      </c>
      <c r="J10" s="38" t="s">
        <v>41</v>
      </c>
      <c r="K10" s="51" t="s">
        <v>1061</v>
      </c>
      <c r="L10" s="51" t="s">
        <v>1062</v>
      </c>
      <c r="M10" s="55" t="s">
        <v>1063</v>
      </c>
      <c r="N10" s="55"/>
      <c r="O10" s="669" t="s">
        <v>46</v>
      </c>
      <c r="P10" s="669" t="s">
        <v>40</v>
      </c>
      <c r="Q10" s="126" t="s">
        <v>1148</v>
      </c>
      <c r="R10" s="92" t="s">
        <v>769</v>
      </c>
      <c r="S10" s="617">
        <v>4</v>
      </c>
      <c r="T10" s="51">
        <v>100</v>
      </c>
      <c r="U10" s="55">
        <v>4</v>
      </c>
      <c r="V10" s="296"/>
      <c r="W10" s="122" t="s">
        <v>50</v>
      </c>
      <c r="X10" s="38" t="s">
        <v>51</v>
      </c>
      <c r="Y10" s="103" t="s">
        <v>52</v>
      </c>
      <c r="Z10" s="103" t="s">
        <v>52</v>
      </c>
      <c r="AA10" s="142"/>
      <c r="AB10" s="837"/>
      <c r="AC10" s="29" t="s">
        <v>40</v>
      </c>
      <c r="AD10" s="29" t="s">
        <v>134</v>
      </c>
      <c r="AE10" t="s">
        <v>1064</v>
      </c>
      <c r="AF10" s="53" t="s">
        <v>46</v>
      </c>
    </row>
    <row r="11" spans="1:32" ht="36">
      <c r="A11" s="1693"/>
      <c r="B11" s="1693"/>
      <c r="C11" s="567" t="s">
        <v>856</v>
      </c>
      <c r="D11" s="119" t="s">
        <v>861</v>
      </c>
      <c r="E11" s="777" t="s">
        <v>1527</v>
      </c>
      <c r="F11" s="1649"/>
      <c r="G11" s="298" t="s">
        <v>863</v>
      </c>
      <c r="H11" s="116" t="s">
        <v>860</v>
      </c>
      <c r="I11" s="1689"/>
      <c r="J11" s="38" t="s">
        <v>41</v>
      </c>
      <c r="K11" s="51" t="s">
        <v>1065</v>
      </c>
      <c r="L11" s="51" t="s">
        <v>1066</v>
      </c>
      <c r="M11" s="55" t="s">
        <v>1067</v>
      </c>
      <c r="N11" s="55"/>
      <c r="O11" s="669" t="s">
        <v>46</v>
      </c>
      <c r="P11" s="669" t="s">
        <v>40</v>
      </c>
      <c r="Q11" s="126" t="s">
        <v>1148</v>
      </c>
      <c r="R11" s="92" t="s">
        <v>769</v>
      </c>
      <c r="S11" s="617">
        <v>4</v>
      </c>
      <c r="T11" s="51">
        <v>100</v>
      </c>
      <c r="U11" s="55">
        <v>4</v>
      </c>
      <c r="V11" s="296"/>
      <c r="W11" s="121" t="s">
        <v>65</v>
      </c>
      <c r="X11" s="38" t="s">
        <v>51</v>
      </c>
      <c r="Y11" s="103" t="s">
        <v>52</v>
      </c>
      <c r="Z11" s="103" t="s">
        <v>52</v>
      </c>
      <c r="AA11" s="142"/>
      <c r="AB11" s="134"/>
      <c r="AC11" s="54" t="s">
        <v>40</v>
      </c>
      <c r="AD11" s="29" t="s">
        <v>134</v>
      </c>
      <c r="AE11" t="s">
        <v>1064</v>
      </c>
      <c r="AF11" s="29" t="s">
        <v>864</v>
      </c>
    </row>
    <row r="12" spans="1:32" ht="24.75">
      <c r="A12" s="1693"/>
      <c r="B12" s="1693"/>
      <c r="F12" s="38"/>
      <c r="I12" s="1689"/>
      <c r="J12" s="38" t="s">
        <v>41</v>
      </c>
      <c r="K12" s="99" t="s">
        <v>1095</v>
      </c>
      <c r="L12" s="99" t="s">
        <v>1096</v>
      </c>
      <c r="M12" s="59" t="s">
        <v>1097</v>
      </c>
      <c r="N12" s="99"/>
      <c r="O12" s="669" t="s">
        <v>46</v>
      </c>
      <c r="P12" s="669" t="s">
        <v>40</v>
      </c>
      <c r="Q12" s="126" t="s">
        <v>1148</v>
      </c>
      <c r="R12" s="92" t="s">
        <v>769</v>
      </c>
      <c r="S12" s="618">
        <v>8</v>
      </c>
      <c r="T12" s="99">
        <v>230</v>
      </c>
      <c r="U12" s="102">
        <v>4</v>
      </c>
      <c r="V12" s="102"/>
      <c r="W12" s="137" t="s">
        <v>50</v>
      </c>
      <c r="X12" s="38" t="s">
        <v>51</v>
      </c>
      <c r="Y12" s="103" t="s">
        <v>52</v>
      </c>
      <c r="Z12" s="103" t="s">
        <v>52</v>
      </c>
      <c r="AA12" s="102"/>
      <c r="AC12" s="29" t="s">
        <v>40</v>
      </c>
      <c r="AD12" s="29" t="s">
        <v>134</v>
      </c>
      <c r="AE12" t="s">
        <v>1064</v>
      </c>
      <c r="AF12" t="s">
        <v>46</v>
      </c>
    </row>
    <row r="13" spans="1:32" ht="24.75">
      <c r="A13" s="1693"/>
      <c r="B13" s="1693"/>
      <c r="F13" s="38"/>
      <c r="I13" s="1689"/>
      <c r="J13" s="38" t="s">
        <v>41</v>
      </c>
      <c r="K13" s="99" t="s">
        <v>1098</v>
      </c>
      <c r="L13" s="99" t="s">
        <v>1099</v>
      </c>
      <c r="M13" s="59" t="s">
        <v>1528</v>
      </c>
      <c r="N13" s="99"/>
      <c r="O13" s="669" t="s">
        <v>46</v>
      </c>
      <c r="P13" s="669" t="s">
        <v>40</v>
      </c>
      <c r="Q13" s="126" t="s">
        <v>1148</v>
      </c>
      <c r="R13" s="136" t="s">
        <v>769</v>
      </c>
      <c r="S13" s="200">
        <v>32</v>
      </c>
      <c r="T13" s="99">
        <v>230</v>
      </c>
      <c r="U13" s="131">
        <v>4</v>
      </c>
      <c r="V13" s="102"/>
      <c r="W13" s="137" t="s">
        <v>86</v>
      </c>
      <c r="X13" s="38" t="s">
        <v>51</v>
      </c>
      <c r="Y13" s="103" t="s">
        <v>52</v>
      </c>
      <c r="Z13" s="103" t="s">
        <v>52</v>
      </c>
      <c r="AA13" s="102"/>
      <c r="AC13" s="29" t="s">
        <v>48</v>
      </c>
      <c r="AD13" s="29"/>
      <c r="AE13" s="29"/>
      <c r="AF13" s="29" t="s">
        <v>1101</v>
      </c>
    </row>
    <row r="14" spans="1:32" ht="24">
      <c r="A14" s="1693"/>
      <c r="B14" s="1693"/>
      <c r="F14" s="38"/>
      <c r="I14" s="1689"/>
      <c r="J14" s="38" t="s">
        <v>41</v>
      </c>
      <c r="K14" s="125" t="s">
        <v>1102</v>
      </c>
      <c r="L14" s="125" t="s">
        <v>1103</v>
      </c>
      <c r="M14" s="117" t="s">
        <v>1100</v>
      </c>
      <c r="N14" s="125"/>
      <c r="O14" s="669" t="s">
        <v>46</v>
      </c>
      <c r="P14" s="669" t="s">
        <v>40</v>
      </c>
      <c r="Q14" s="226" t="s">
        <v>1148</v>
      </c>
      <c r="R14" s="434" t="s">
        <v>769</v>
      </c>
      <c r="S14" s="297">
        <v>32</v>
      </c>
      <c r="T14" s="125">
        <v>230</v>
      </c>
      <c r="U14" s="298">
        <v>4</v>
      </c>
      <c r="V14" s="432"/>
      <c r="W14" s="484" t="s">
        <v>86</v>
      </c>
      <c r="X14" s="38" t="s">
        <v>51</v>
      </c>
      <c r="Y14" s="38" t="s">
        <v>52</v>
      </c>
      <c r="Z14" s="38" t="s">
        <v>52</v>
      </c>
      <c r="AA14" s="432"/>
      <c r="AB14" s="109"/>
      <c r="AC14" s="119" t="s">
        <v>48</v>
      </c>
      <c r="AD14" s="119"/>
      <c r="AE14" s="119"/>
      <c r="AF14" s="119" t="s">
        <v>1101</v>
      </c>
    </row>
    <row r="15" spans="1:32" ht="24">
      <c r="A15" s="1693"/>
      <c r="B15" s="1693"/>
      <c r="F15" s="38"/>
      <c r="I15" s="1689"/>
      <c r="J15" s="38" t="s">
        <v>41</v>
      </c>
      <c r="K15" s="125" t="s">
        <v>1105</v>
      </c>
      <c r="L15" s="125" t="s">
        <v>1103</v>
      </c>
      <c r="M15" s="117" t="s">
        <v>1104</v>
      </c>
      <c r="N15" s="125"/>
      <c r="O15" s="669" t="s">
        <v>46</v>
      </c>
      <c r="P15" s="669" t="s">
        <v>40</v>
      </c>
      <c r="Q15" s="226" t="s">
        <v>1148</v>
      </c>
      <c r="R15" s="434" t="s">
        <v>769</v>
      </c>
      <c r="S15" s="125">
        <v>32</v>
      </c>
      <c r="T15" s="258">
        <v>230</v>
      </c>
      <c r="U15" s="125">
        <v>4</v>
      </c>
      <c r="V15" s="432"/>
      <c r="W15" s="484" t="s">
        <v>86</v>
      </c>
      <c r="X15" s="38" t="s">
        <v>51</v>
      </c>
      <c r="Y15" s="38" t="s">
        <v>52</v>
      </c>
      <c r="Z15" s="38" t="s">
        <v>52</v>
      </c>
      <c r="AA15" s="432"/>
      <c r="AB15" s="109"/>
      <c r="AC15" s="119" t="s">
        <v>48</v>
      </c>
      <c r="AD15" s="119"/>
      <c r="AE15" s="119"/>
      <c r="AF15" s="119" t="s">
        <v>1101</v>
      </c>
    </row>
    <row r="16" spans="1:32" ht="24">
      <c r="A16" s="1693"/>
      <c r="B16" s="1693"/>
      <c r="F16" s="38"/>
      <c r="I16" s="1689"/>
      <c r="J16" s="38" t="s">
        <v>41</v>
      </c>
      <c r="K16" s="125" t="s">
        <v>1107</v>
      </c>
      <c r="L16" s="125" t="s">
        <v>1103</v>
      </c>
      <c r="M16" s="117" t="s">
        <v>1108</v>
      </c>
      <c r="N16" s="125"/>
      <c r="O16" s="669" t="s">
        <v>46</v>
      </c>
      <c r="P16" s="669" t="s">
        <v>40</v>
      </c>
      <c r="Q16" s="226" t="s">
        <v>1148</v>
      </c>
      <c r="R16" s="434" t="s">
        <v>769</v>
      </c>
      <c r="S16" s="125">
        <v>32</v>
      </c>
      <c r="T16" s="125">
        <v>230</v>
      </c>
      <c r="U16" s="125">
        <v>4</v>
      </c>
      <c r="V16" s="432"/>
      <c r="W16" s="484" t="s">
        <v>86</v>
      </c>
      <c r="X16" s="38" t="s">
        <v>51</v>
      </c>
      <c r="Y16" s="38" t="s">
        <v>52</v>
      </c>
      <c r="Z16" s="38" t="s">
        <v>52</v>
      </c>
      <c r="AA16" s="432"/>
      <c r="AB16" s="109"/>
      <c r="AC16" s="119" t="s">
        <v>48</v>
      </c>
      <c r="AD16" s="119"/>
      <c r="AE16" s="119"/>
      <c r="AF16" s="119" t="s">
        <v>1101</v>
      </c>
    </row>
    <row r="17" spans="1:37" ht="24">
      <c r="A17" s="1693"/>
      <c r="B17" s="1693"/>
      <c r="F17" s="38"/>
      <c r="I17" s="1689"/>
      <c r="J17" s="38" t="s">
        <v>41</v>
      </c>
      <c r="K17" s="125" t="s">
        <v>1109</v>
      </c>
      <c r="L17" s="125" t="s">
        <v>1103</v>
      </c>
      <c r="M17" s="117" t="s">
        <v>1110</v>
      </c>
      <c r="N17" s="125"/>
      <c r="O17" s="669" t="s">
        <v>46</v>
      </c>
      <c r="P17" s="669" t="s">
        <v>40</v>
      </c>
      <c r="Q17" s="226" t="s">
        <v>1148</v>
      </c>
      <c r="R17" s="434" t="s">
        <v>769</v>
      </c>
      <c r="S17" s="125">
        <v>32</v>
      </c>
      <c r="T17" s="125">
        <v>230</v>
      </c>
      <c r="U17" s="125">
        <v>4</v>
      </c>
      <c r="V17" s="432"/>
      <c r="W17" s="484" t="s">
        <v>86</v>
      </c>
      <c r="X17" s="38" t="s">
        <v>51</v>
      </c>
      <c r="Y17" s="38" t="s">
        <v>52</v>
      </c>
      <c r="Z17" s="38" t="s">
        <v>52</v>
      </c>
      <c r="AA17" s="432"/>
      <c r="AB17" s="109"/>
      <c r="AC17" s="119" t="s">
        <v>48</v>
      </c>
      <c r="AD17" s="119"/>
      <c r="AE17" s="119"/>
      <c r="AF17" s="119" t="s">
        <v>1101</v>
      </c>
    </row>
    <row r="18" spans="1:37" ht="24">
      <c r="A18" s="1693"/>
      <c r="B18" s="1693"/>
      <c r="F18" s="38"/>
      <c r="I18" s="1689"/>
      <c r="J18" s="38" t="s">
        <v>41</v>
      </c>
      <c r="K18" s="125" t="s">
        <v>1529</v>
      </c>
      <c r="L18" s="125" t="s">
        <v>1103</v>
      </c>
      <c r="M18" s="117" t="s">
        <v>1106</v>
      </c>
      <c r="N18" s="125"/>
      <c r="O18" s="669" t="s">
        <v>46</v>
      </c>
      <c r="P18" s="669" t="s">
        <v>40</v>
      </c>
      <c r="Q18" s="226" t="s">
        <v>1148</v>
      </c>
      <c r="R18" s="434" t="s">
        <v>769</v>
      </c>
      <c r="S18" s="564">
        <v>32</v>
      </c>
      <c r="T18" s="564">
        <v>230</v>
      </c>
      <c r="U18" s="125">
        <v>4</v>
      </c>
      <c r="V18" s="432"/>
      <c r="W18" s="484" t="s">
        <v>86</v>
      </c>
      <c r="X18" s="38" t="s">
        <v>51</v>
      </c>
      <c r="Y18" s="38" t="s">
        <v>52</v>
      </c>
      <c r="Z18" s="38" t="s">
        <v>52</v>
      </c>
      <c r="AA18" s="432"/>
      <c r="AB18" s="109"/>
      <c r="AC18" s="608" t="s">
        <v>48</v>
      </c>
      <c r="AD18" s="608"/>
      <c r="AE18" s="608"/>
      <c r="AF18" s="119" t="s">
        <v>1101</v>
      </c>
    </row>
    <row r="19" spans="1:37" ht="24.75">
      <c r="A19" s="1693"/>
      <c r="B19" s="1693"/>
      <c r="F19" s="38"/>
      <c r="I19" s="1689"/>
      <c r="J19" s="38" t="s">
        <v>41</v>
      </c>
      <c r="K19" s="776" t="s">
        <v>1203</v>
      </c>
      <c r="L19" s="116" t="s">
        <v>1530</v>
      </c>
      <c r="M19" s="55" t="s">
        <v>1204</v>
      </c>
      <c r="N19" s="296"/>
      <c r="O19" s="669" t="s">
        <v>46</v>
      </c>
      <c r="P19" s="669" t="s">
        <v>40</v>
      </c>
      <c r="Q19" s="99" t="s">
        <v>1148</v>
      </c>
      <c r="R19" s="99" t="s">
        <v>769</v>
      </c>
      <c r="S19" s="55">
        <v>8</v>
      </c>
      <c r="T19" s="56">
        <v>100</v>
      </c>
      <c r="U19" s="56">
        <v>4</v>
      </c>
      <c r="V19" s="617"/>
      <c r="W19" s="123" t="s">
        <v>50</v>
      </c>
      <c r="X19" s="38" t="s">
        <v>51</v>
      </c>
      <c r="Y19" s="38" t="s">
        <v>52</v>
      </c>
      <c r="Z19" s="38" t="s">
        <v>52</v>
      </c>
      <c r="AA19" s="142"/>
      <c r="AB19" s="97"/>
      <c r="AC19" s="29" t="s">
        <v>40</v>
      </c>
      <c r="AD19" s="29" t="s">
        <v>134</v>
      </c>
      <c r="AE19" t="s">
        <v>1064</v>
      </c>
      <c r="AF19" s="29" t="s">
        <v>46</v>
      </c>
    </row>
    <row r="20" spans="1:37" ht="24.75">
      <c r="A20" s="1693"/>
      <c r="B20" s="1693"/>
      <c r="F20" s="38"/>
      <c r="I20" s="1689"/>
      <c r="J20" s="38" t="s">
        <v>41</v>
      </c>
      <c r="K20" s="776" t="s">
        <v>1531</v>
      </c>
      <c r="L20" s="51" t="s">
        <v>1270</v>
      </c>
      <c r="M20" s="55" t="s">
        <v>1271</v>
      </c>
      <c r="N20" s="55"/>
      <c r="O20" s="654" t="s">
        <v>46</v>
      </c>
      <c r="P20" s="654" t="s">
        <v>40</v>
      </c>
      <c r="Q20" s="118" t="s">
        <v>1148</v>
      </c>
      <c r="R20" s="99" t="s">
        <v>769</v>
      </c>
      <c r="S20" s="486">
        <v>16</v>
      </c>
      <c r="T20" s="486">
        <v>600</v>
      </c>
      <c r="U20" s="486">
        <v>4</v>
      </c>
      <c r="V20" s="803"/>
      <c r="W20" s="123" t="s">
        <v>50</v>
      </c>
      <c r="X20" s="38" t="s">
        <v>51</v>
      </c>
      <c r="Y20" s="103" t="s">
        <v>52</v>
      </c>
      <c r="Z20" s="103" t="s">
        <v>52</v>
      </c>
      <c r="AA20" s="142"/>
      <c r="AB20" s="97"/>
      <c r="AC20" s="29" t="s">
        <v>40</v>
      </c>
      <c r="AD20" s="54" t="s">
        <v>134</v>
      </c>
      <c r="AE20" t="s">
        <v>1064</v>
      </c>
      <c r="AF20" s="29" t="s">
        <v>46</v>
      </c>
    </row>
    <row r="21" spans="1:37" ht="24.75">
      <c r="A21" s="1693"/>
      <c r="B21" s="1693"/>
      <c r="F21" s="38"/>
      <c r="I21" s="1689"/>
      <c r="J21" s="38" t="s">
        <v>41</v>
      </c>
      <c r="K21" s="776" t="s">
        <v>1283</v>
      </c>
      <c r="L21" s="51" t="s">
        <v>1284</v>
      </c>
      <c r="M21" s="55" t="s">
        <v>1285</v>
      </c>
      <c r="N21" s="55"/>
      <c r="O21" s="654" t="s">
        <v>46</v>
      </c>
      <c r="P21" s="654" t="s">
        <v>40</v>
      </c>
      <c r="Q21" s="126" t="s">
        <v>1148</v>
      </c>
      <c r="R21" s="99" t="s">
        <v>769</v>
      </c>
      <c r="S21" s="56">
        <v>8</v>
      </c>
      <c r="T21" s="56">
        <v>100</v>
      </c>
      <c r="U21" s="56">
        <v>4</v>
      </c>
      <c r="V21" s="617"/>
      <c r="W21" s="122" t="s">
        <v>50</v>
      </c>
      <c r="X21" s="38" t="s">
        <v>51</v>
      </c>
      <c r="Y21" s="103" t="s">
        <v>52</v>
      </c>
      <c r="Z21" s="103" t="s">
        <v>52</v>
      </c>
      <c r="AA21" s="142"/>
      <c r="AB21" s="134"/>
      <c r="AC21" s="29" t="s">
        <v>40</v>
      </c>
      <c r="AD21" s="54" t="s">
        <v>134</v>
      </c>
      <c r="AE21" t="s">
        <v>1064</v>
      </c>
      <c r="AF21" s="29" t="s">
        <v>46</v>
      </c>
    </row>
    <row r="22" spans="1:37" ht="24.75">
      <c r="A22" s="1693"/>
      <c r="B22" s="1693"/>
      <c r="F22" s="38"/>
      <c r="I22" s="1689"/>
      <c r="J22" s="38" t="s">
        <v>41</v>
      </c>
      <c r="K22" s="693" t="s">
        <v>1532</v>
      </c>
      <c r="L22" s="51" t="s">
        <v>1533</v>
      </c>
      <c r="M22" s="55" t="s">
        <v>1534</v>
      </c>
      <c r="N22" s="55"/>
      <c r="O22" s="654" t="s">
        <v>46</v>
      </c>
      <c r="P22" s="654" t="s">
        <v>40</v>
      </c>
      <c r="Q22" s="126" t="s">
        <v>1148</v>
      </c>
      <c r="R22" s="99" t="s">
        <v>769</v>
      </c>
      <c r="S22" s="56">
        <v>8</v>
      </c>
      <c r="T22" s="56">
        <v>100</v>
      </c>
      <c r="U22" s="56">
        <v>4</v>
      </c>
      <c r="V22" s="617"/>
      <c r="W22" s="121" t="s">
        <v>65</v>
      </c>
      <c r="X22" s="38" t="s">
        <v>51</v>
      </c>
      <c r="Y22" s="103" t="s">
        <v>52</v>
      </c>
      <c r="Z22" s="103" t="s">
        <v>52</v>
      </c>
      <c r="AA22" s="142"/>
      <c r="AB22" s="134"/>
      <c r="AC22" s="29" t="s">
        <v>48</v>
      </c>
      <c r="AD22" s="54"/>
      <c r="AF22" s="29" t="s">
        <v>1535</v>
      </c>
    </row>
    <row r="23" spans="1:37">
      <c r="A23" s="1693"/>
      <c r="B23" s="1693"/>
      <c r="C23" s="115"/>
      <c r="D23" s="115"/>
      <c r="E23" s="115"/>
      <c r="F23" s="38"/>
      <c r="G23" s="115"/>
      <c r="H23" s="115"/>
      <c r="I23" s="1689"/>
      <c r="J23" s="38" t="s">
        <v>41</v>
      </c>
      <c r="K23" s="776" t="s">
        <v>1352</v>
      </c>
      <c r="L23" s="51" t="s">
        <v>1353</v>
      </c>
      <c r="M23" s="52" t="s">
        <v>1354</v>
      </c>
      <c r="N23" s="52"/>
      <c r="O23" s="654" t="s">
        <v>40</v>
      </c>
      <c r="P23" s="654" t="s">
        <v>46</v>
      </c>
      <c r="Q23" s="213" t="s">
        <v>1536</v>
      </c>
      <c r="R23" s="210">
        <v>90</v>
      </c>
      <c r="S23" s="51">
        <v>8</v>
      </c>
      <c r="T23" s="51">
        <v>1024</v>
      </c>
      <c r="U23" s="51">
        <v>6</v>
      </c>
      <c r="V23" s="58"/>
      <c r="W23" s="215" t="s">
        <v>50</v>
      </c>
      <c r="X23" s="38" t="s">
        <v>51</v>
      </c>
      <c r="Y23" s="103" t="s">
        <v>52</v>
      </c>
      <c r="Z23" s="103" t="s">
        <v>52</v>
      </c>
      <c r="AA23" s="144"/>
      <c r="AB23" s="88"/>
      <c r="AC23" s="111" t="s">
        <v>40</v>
      </c>
      <c r="AD23" s="54" t="s">
        <v>134</v>
      </c>
      <c r="AE23" t="s">
        <v>1064</v>
      </c>
      <c r="AF23" s="197"/>
      <c r="AG23" s="96"/>
      <c r="AH23" s="96"/>
      <c r="AI23" s="96"/>
      <c r="AJ23" s="96"/>
      <c r="AK23" s="96"/>
    </row>
    <row r="24" spans="1:37" s="64" customFormat="1" ht="41.25" customHeight="1">
      <c r="A24" s="1690" t="s">
        <v>1519</v>
      </c>
      <c r="B24" s="1692" t="s">
        <v>1537</v>
      </c>
      <c r="C24" s="176" t="s">
        <v>856</v>
      </c>
      <c r="D24" s="176" t="s">
        <v>1538</v>
      </c>
      <c r="E24" s="176" t="s">
        <v>1539</v>
      </c>
      <c r="F24" s="835">
        <v>1</v>
      </c>
      <c r="G24" s="383" t="s">
        <v>859</v>
      </c>
      <c r="H24" s="421" t="s">
        <v>860</v>
      </c>
      <c r="I24" s="174">
        <f>COUNTIF(J24:J39,"=VIRTUAL")</f>
        <v>16</v>
      </c>
      <c r="J24" s="773" t="s">
        <v>41</v>
      </c>
      <c r="K24" s="774" t="s">
        <v>1540</v>
      </c>
      <c r="L24" s="775" t="s">
        <v>1541</v>
      </c>
      <c r="M24" s="91" t="s">
        <v>1542</v>
      </c>
      <c r="N24" s="62"/>
      <c r="O24" s="643" t="s">
        <v>46</v>
      </c>
      <c r="P24" s="643" t="s">
        <v>46</v>
      </c>
      <c r="Q24" s="62" t="s">
        <v>1543</v>
      </c>
      <c r="R24" s="62" t="s">
        <v>1544</v>
      </c>
      <c r="S24" s="62">
        <v>6</v>
      </c>
      <c r="T24" s="62">
        <v>78</v>
      </c>
      <c r="U24" s="62">
        <v>4</v>
      </c>
      <c r="V24" s="804"/>
      <c r="W24" s="121" t="s">
        <v>819</v>
      </c>
      <c r="X24" s="38" t="s">
        <v>51</v>
      </c>
      <c r="Y24" s="103" t="s">
        <v>52</v>
      </c>
      <c r="Z24" s="103" t="s">
        <v>52</v>
      </c>
      <c r="AA24" s="143"/>
      <c r="AB24" s="134"/>
      <c r="AC24" s="63" t="s">
        <v>40</v>
      </c>
      <c r="AD24" s="63" t="s">
        <v>134</v>
      </c>
      <c r="AE24" s="63"/>
      <c r="AF24" s="63" t="s">
        <v>46</v>
      </c>
    </row>
    <row r="25" spans="1:37" s="93" customFormat="1" ht="42" customHeight="1">
      <c r="A25" s="1690"/>
      <c r="B25" s="1690"/>
      <c r="C25" s="836" t="s">
        <v>856</v>
      </c>
      <c r="D25" s="836" t="s">
        <v>865</v>
      </c>
      <c r="E25" s="60" t="s">
        <v>1545</v>
      </c>
      <c r="F25" s="87">
        <v>1</v>
      </c>
      <c r="G25" s="419" t="s">
        <v>859</v>
      </c>
      <c r="H25" s="422" t="s">
        <v>860</v>
      </c>
      <c r="I25" s="38"/>
      <c r="J25" s="140" t="s">
        <v>41</v>
      </c>
      <c r="K25" s="425" t="s">
        <v>1546</v>
      </c>
      <c r="L25" s="425" t="s">
        <v>1547</v>
      </c>
      <c r="M25" s="385" t="s">
        <v>1548</v>
      </c>
      <c r="N25" s="385"/>
      <c r="O25" s="643" t="s">
        <v>46</v>
      </c>
      <c r="P25" s="643" t="s">
        <v>40</v>
      </c>
      <c r="Q25" s="385" t="s">
        <v>1549</v>
      </c>
      <c r="R25" s="385" t="s">
        <v>1550</v>
      </c>
      <c r="S25" s="385">
        <v>8</v>
      </c>
      <c r="T25" s="385">
        <v>200</v>
      </c>
      <c r="U25" s="385">
        <v>2</v>
      </c>
      <c r="V25" s="805"/>
      <c r="W25" s="121" t="s">
        <v>65</v>
      </c>
      <c r="X25" s="38" t="s">
        <v>200</v>
      </c>
      <c r="Y25" s="38"/>
      <c r="Z25" s="38"/>
      <c r="AA25" s="143"/>
      <c r="AB25" s="134"/>
      <c r="AC25" s="176" t="s">
        <v>1551</v>
      </c>
      <c r="AD25" s="176"/>
      <c r="AE25" s="176"/>
      <c r="AF25" s="176"/>
    </row>
    <row r="26" spans="1:37" s="64" customFormat="1" ht="42" customHeight="1">
      <c r="A26" s="1690"/>
      <c r="B26" s="1690"/>
      <c r="C26" s="176" t="s">
        <v>856</v>
      </c>
      <c r="D26" s="176" t="s">
        <v>1552</v>
      </c>
      <c r="E26" s="60" t="s">
        <v>1553</v>
      </c>
      <c r="F26" s="87">
        <v>1</v>
      </c>
      <c r="G26" s="419" t="s">
        <v>859</v>
      </c>
      <c r="H26" s="422" t="s">
        <v>860</v>
      </c>
      <c r="I26" s="38"/>
      <c r="J26" s="140" t="s">
        <v>41</v>
      </c>
      <c r="K26" s="708" t="s">
        <v>1554</v>
      </c>
      <c r="L26" s="709" t="s">
        <v>1555</v>
      </c>
      <c r="M26" s="710" t="s">
        <v>1556</v>
      </c>
      <c r="N26" s="385"/>
      <c r="O26" s="643" t="s">
        <v>46</v>
      </c>
      <c r="P26" s="643" t="s">
        <v>40</v>
      </c>
      <c r="Q26" s="385" t="s">
        <v>235</v>
      </c>
      <c r="R26" s="385" t="s">
        <v>1255</v>
      </c>
      <c r="S26" s="385">
        <v>32</v>
      </c>
      <c r="T26" s="385">
        <v>220</v>
      </c>
      <c r="U26" s="385">
        <v>4</v>
      </c>
      <c r="V26" s="805"/>
      <c r="W26" s="158" t="s">
        <v>65</v>
      </c>
      <c r="X26" s="38" t="s">
        <v>200</v>
      </c>
      <c r="Y26" s="38" t="s">
        <v>52</v>
      </c>
      <c r="Z26" s="38" t="s">
        <v>52</v>
      </c>
      <c r="AA26" s="143"/>
      <c r="AB26" s="134"/>
      <c r="AC26" s="176"/>
      <c r="AD26" s="63" t="s">
        <v>219</v>
      </c>
      <c r="AE26" s="63"/>
      <c r="AF26" s="63"/>
    </row>
    <row r="27" spans="1:37" s="64" customFormat="1" ht="42" customHeight="1">
      <c r="A27" s="1690"/>
      <c r="B27" s="1690"/>
      <c r="C27"/>
      <c r="D27"/>
      <c r="E27"/>
      <c r="F27"/>
      <c r="G27"/>
      <c r="H27"/>
      <c r="I27" s="38"/>
      <c r="J27" s="140" t="s">
        <v>41</v>
      </c>
      <c r="K27" s="690" t="s">
        <v>1557</v>
      </c>
      <c r="L27" s="425" t="s">
        <v>1558</v>
      </c>
      <c r="M27" s="385" t="s">
        <v>1559</v>
      </c>
      <c r="N27" s="385"/>
      <c r="O27" s="643" t="s">
        <v>46</v>
      </c>
      <c r="P27" s="643" t="s">
        <v>40</v>
      </c>
      <c r="Q27" s="385" t="s">
        <v>356</v>
      </c>
      <c r="R27" s="385" t="s">
        <v>808</v>
      </c>
      <c r="S27" s="385">
        <v>4</v>
      </c>
      <c r="T27" s="385">
        <v>120</v>
      </c>
      <c r="U27" s="385">
        <v>2</v>
      </c>
      <c r="V27" s="805"/>
      <c r="W27" s="121" t="s">
        <v>86</v>
      </c>
      <c r="X27" s="38" t="s">
        <v>200</v>
      </c>
      <c r="Y27" s="38" t="s">
        <v>52</v>
      </c>
      <c r="Z27" s="38" t="s">
        <v>52</v>
      </c>
      <c r="AA27" s="143"/>
      <c r="AB27" s="134"/>
      <c r="AC27" s="176" t="s">
        <v>40</v>
      </c>
      <c r="AD27" s="176"/>
      <c r="AE27" s="176"/>
      <c r="AF27" s="176" t="s">
        <v>46</v>
      </c>
    </row>
    <row r="28" spans="1:37" s="64" customFormat="1" ht="42" customHeight="1">
      <c r="A28" s="1690"/>
      <c r="B28" s="1690"/>
      <c r="C28"/>
      <c r="D28"/>
      <c r="E28"/>
      <c r="F28"/>
      <c r="G28"/>
      <c r="H28"/>
      <c r="I28" s="38"/>
      <c r="J28" s="140" t="s">
        <v>41</v>
      </c>
      <c r="K28" s="690" t="s">
        <v>1560</v>
      </c>
      <c r="L28" s="425" t="s">
        <v>1561</v>
      </c>
      <c r="M28" s="385" t="s">
        <v>1562</v>
      </c>
      <c r="N28" s="385"/>
      <c r="O28" s="643" t="s">
        <v>46</v>
      </c>
      <c r="P28" s="643" t="s">
        <v>40</v>
      </c>
      <c r="Q28" s="385" t="s">
        <v>235</v>
      </c>
      <c r="R28" s="385" t="s">
        <v>899</v>
      </c>
      <c r="S28" s="385">
        <v>2</v>
      </c>
      <c r="T28" s="385">
        <v>30</v>
      </c>
      <c r="U28" s="385">
        <v>2</v>
      </c>
      <c r="V28" s="805"/>
      <c r="W28" s="121" t="s">
        <v>65</v>
      </c>
      <c r="X28" s="38" t="s">
        <v>200</v>
      </c>
      <c r="Y28" s="103" t="s">
        <v>52</v>
      </c>
      <c r="Z28" s="103" t="s">
        <v>52</v>
      </c>
      <c r="AA28" s="143"/>
      <c r="AB28" s="134"/>
      <c r="AC28" s="63" t="s">
        <v>40</v>
      </c>
      <c r="AD28" s="63" t="s">
        <v>219</v>
      </c>
      <c r="AE28" s="63"/>
      <c r="AF28" s="63" t="s">
        <v>46</v>
      </c>
    </row>
    <row r="29" spans="1:37" s="64" customFormat="1" ht="42" customHeight="1">
      <c r="A29" s="1690"/>
      <c r="B29" s="1690"/>
      <c r="C29"/>
      <c r="D29"/>
      <c r="E29"/>
      <c r="F29"/>
      <c r="G29"/>
      <c r="H29"/>
      <c r="I29" s="38"/>
      <c r="J29" s="140" t="s">
        <v>41</v>
      </c>
      <c r="K29" s="690" t="s">
        <v>1563</v>
      </c>
      <c r="L29" s="425" t="s">
        <v>1564</v>
      </c>
      <c r="M29" s="385" t="s">
        <v>1565</v>
      </c>
      <c r="N29" s="385"/>
      <c r="O29" s="643" t="s">
        <v>46</v>
      </c>
      <c r="P29" s="643" t="s">
        <v>40</v>
      </c>
      <c r="Q29" s="385" t="s">
        <v>235</v>
      </c>
      <c r="R29" s="385" t="s">
        <v>899</v>
      </c>
      <c r="S29" s="385">
        <v>8</v>
      </c>
      <c r="T29" s="385">
        <v>80</v>
      </c>
      <c r="U29" s="385">
        <v>4</v>
      </c>
      <c r="V29" s="805"/>
      <c r="W29" s="121" t="s">
        <v>65</v>
      </c>
      <c r="X29" s="38" t="s">
        <v>200</v>
      </c>
      <c r="Y29" s="103"/>
      <c r="Z29" s="103"/>
      <c r="AA29" s="143"/>
      <c r="AB29" s="134"/>
      <c r="AC29" s="63" t="s">
        <v>40</v>
      </c>
      <c r="AD29" s="63" t="s">
        <v>219</v>
      </c>
      <c r="AE29" s="63"/>
      <c r="AF29" s="63" t="s">
        <v>46</v>
      </c>
    </row>
    <row r="30" spans="1:37" s="93" customFormat="1" ht="42" customHeight="1">
      <c r="A30" s="1690"/>
      <c r="B30" s="1690"/>
      <c r="C30" s="109"/>
      <c r="D30" s="109"/>
      <c r="E30" s="109"/>
      <c r="F30" s="109"/>
      <c r="G30" s="109"/>
      <c r="H30" s="109"/>
      <c r="I30" s="38"/>
      <c r="J30" s="140" t="s">
        <v>41</v>
      </c>
      <c r="K30" s="690" t="s">
        <v>1566</v>
      </c>
      <c r="L30" s="425" t="s">
        <v>1567</v>
      </c>
      <c r="M30" s="385" t="s">
        <v>1568</v>
      </c>
      <c r="N30" s="385"/>
      <c r="O30" s="643" t="s">
        <v>40</v>
      </c>
      <c r="P30" s="643" t="s">
        <v>46</v>
      </c>
      <c r="Q30" s="385" t="s">
        <v>800</v>
      </c>
      <c r="R30" s="385" t="s">
        <v>1569</v>
      </c>
      <c r="S30" s="385">
        <v>20</v>
      </c>
      <c r="T30" s="385">
        <v>350</v>
      </c>
      <c r="U30" s="385">
        <v>4</v>
      </c>
      <c r="V30" s="805"/>
      <c r="W30" s="121" t="s">
        <v>65</v>
      </c>
      <c r="X30" s="38" t="s">
        <v>200</v>
      </c>
      <c r="Y30" s="38" t="s">
        <v>52</v>
      </c>
      <c r="Z30" s="38" t="s">
        <v>52</v>
      </c>
      <c r="AA30" s="143"/>
      <c r="AB30" s="134"/>
      <c r="AC30" s="176" t="s">
        <v>40</v>
      </c>
      <c r="AD30" s="176"/>
      <c r="AE30" s="176"/>
      <c r="AF30" s="176" t="s">
        <v>46</v>
      </c>
    </row>
    <row r="31" spans="1:37" s="93" customFormat="1" ht="42" customHeight="1">
      <c r="A31" s="1690"/>
      <c r="B31" s="1690"/>
      <c r="C31" s="109"/>
      <c r="D31" s="109"/>
      <c r="E31" s="109"/>
      <c r="F31" s="109"/>
      <c r="G31" s="109"/>
      <c r="H31" s="109"/>
      <c r="I31" s="38"/>
      <c r="J31" s="140" t="s">
        <v>41</v>
      </c>
      <c r="K31" s="571" t="s">
        <v>1245</v>
      </c>
      <c r="L31" s="425" t="s">
        <v>1246</v>
      </c>
      <c r="M31" s="385" t="s">
        <v>1247</v>
      </c>
      <c r="N31" s="385"/>
      <c r="O31" s="643" t="s">
        <v>46</v>
      </c>
      <c r="P31" s="643" t="s">
        <v>40</v>
      </c>
      <c r="Q31" s="385" t="s">
        <v>641</v>
      </c>
      <c r="R31" s="385" t="s">
        <v>899</v>
      </c>
      <c r="S31" s="385">
        <v>8</v>
      </c>
      <c r="T31" s="385">
        <v>100</v>
      </c>
      <c r="U31" s="385">
        <v>4</v>
      </c>
      <c r="V31" s="805" t="s">
        <v>65</v>
      </c>
      <c r="W31" s="123" t="s">
        <v>86</v>
      </c>
      <c r="X31" s="519" t="s">
        <v>200</v>
      </c>
      <c r="Y31" s="103" t="s">
        <v>229</v>
      </c>
      <c r="Z31" s="103" t="s">
        <v>1081</v>
      </c>
      <c r="AA31"/>
      <c r="AB31"/>
      <c r="AC31" s="29" t="s">
        <v>40</v>
      </c>
      <c r="AD31" s="63" t="s">
        <v>134</v>
      </c>
      <c r="AE31" t="s">
        <v>1028</v>
      </c>
      <c r="AF31" s="29" t="s">
        <v>46</v>
      </c>
    </row>
    <row r="32" spans="1:37" s="93" customFormat="1" ht="42" customHeight="1">
      <c r="A32" s="1690"/>
      <c r="B32" s="1690"/>
      <c r="C32" s="109"/>
      <c r="D32" s="109"/>
      <c r="E32" s="109"/>
      <c r="F32" s="109"/>
      <c r="G32" s="109"/>
      <c r="H32" s="109"/>
      <c r="I32" s="38"/>
      <c r="J32" s="140" t="s">
        <v>41</v>
      </c>
      <c r="K32" s="571" t="s">
        <v>1248</v>
      </c>
      <c r="L32" s="425" t="s">
        <v>1249</v>
      </c>
      <c r="M32" s="385" t="s">
        <v>1250</v>
      </c>
      <c r="N32" s="385"/>
      <c r="O32" s="643" t="s">
        <v>46</v>
      </c>
      <c r="P32" s="643" t="s">
        <v>40</v>
      </c>
      <c r="Q32" s="385" t="s">
        <v>1570</v>
      </c>
      <c r="R32" s="385" t="s">
        <v>899</v>
      </c>
      <c r="S32" s="385">
        <v>8</v>
      </c>
      <c r="T32" s="385">
        <v>80</v>
      </c>
      <c r="U32" s="385">
        <v>4</v>
      </c>
      <c r="V32" s="805" t="s">
        <v>65</v>
      </c>
      <c r="W32" s="123" t="s">
        <v>86</v>
      </c>
      <c r="X32" s="38" t="s">
        <v>200</v>
      </c>
      <c r="Y32" s="103" t="s">
        <v>229</v>
      </c>
      <c r="Z32" s="103" t="s">
        <v>1081</v>
      </c>
      <c r="AA32"/>
      <c r="AB32"/>
      <c r="AC32" s="29" t="s">
        <v>40</v>
      </c>
      <c r="AD32" s="63" t="s">
        <v>134</v>
      </c>
      <c r="AE32" t="s">
        <v>1028</v>
      </c>
      <c r="AF32" s="29" t="s">
        <v>46</v>
      </c>
    </row>
    <row r="33" spans="1:37" s="64" customFormat="1" ht="25.5" customHeight="1">
      <c r="A33" s="1690"/>
      <c r="B33" s="1690"/>
      <c r="C33"/>
      <c r="D33"/>
      <c r="E33"/>
      <c r="F33"/>
      <c r="G33"/>
      <c r="H33"/>
      <c r="I33" s="38"/>
      <c r="J33" s="140" t="s">
        <v>41</v>
      </c>
      <c r="K33" s="118" t="s">
        <v>1251</v>
      </c>
      <c r="L33" s="61" t="s">
        <v>1252</v>
      </c>
      <c r="M33" s="62" t="s">
        <v>1253</v>
      </c>
      <c r="N33" s="62"/>
      <c r="O33" s="643" t="s">
        <v>46</v>
      </c>
      <c r="P33" s="643" t="s">
        <v>40</v>
      </c>
      <c r="Q33" s="385" t="s">
        <v>1254</v>
      </c>
      <c r="R33" s="62" t="s">
        <v>1255</v>
      </c>
      <c r="S33" s="62">
        <v>16</v>
      </c>
      <c r="T33" s="62">
        <v>75</v>
      </c>
      <c r="U33" s="62">
        <v>4</v>
      </c>
      <c r="V33" s="804" t="s">
        <v>65</v>
      </c>
      <c r="W33" s="120" t="s">
        <v>50</v>
      </c>
      <c r="X33" s="38" t="s">
        <v>200</v>
      </c>
      <c r="Y33" s="103" t="s">
        <v>52</v>
      </c>
      <c r="Z33" s="103" t="s">
        <v>52</v>
      </c>
      <c r="AA33" s="143"/>
      <c r="AB33" s="134"/>
      <c r="AC33" s="63" t="s">
        <v>40</v>
      </c>
      <c r="AD33" s="63" t="s">
        <v>134</v>
      </c>
      <c r="AE33" t="s">
        <v>1028</v>
      </c>
      <c r="AF33" s="63" t="s">
        <v>46</v>
      </c>
    </row>
    <row r="34" spans="1:37" s="64" customFormat="1" ht="12" customHeight="1">
      <c r="A34" s="1690"/>
      <c r="B34" s="1690"/>
      <c r="C34"/>
      <c r="D34"/>
      <c r="E34"/>
      <c r="F34"/>
      <c r="G34"/>
      <c r="H34"/>
      <c r="I34" s="38"/>
      <c r="J34" s="140" t="s">
        <v>41</v>
      </c>
      <c r="K34" s="118" t="s">
        <v>1256</v>
      </c>
      <c r="L34" s="61" t="s">
        <v>1257</v>
      </c>
      <c r="M34" s="62" t="s">
        <v>1258</v>
      </c>
      <c r="N34" s="62"/>
      <c r="O34" s="643" t="s">
        <v>46</v>
      </c>
      <c r="P34" s="643" t="s">
        <v>40</v>
      </c>
      <c r="Q34" s="385" t="s">
        <v>1254</v>
      </c>
      <c r="R34" s="62" t="s">
        <v>1255</v>
      </c>
      <c r="S34" s="62">
        <v>16</v>
      </c>
      <c r="T34" s="62">
        <v>75</v>
      </c>
      <c r="U34" s="62">
        <v>4</v>
      </c>
      <c r="V34" s="804" t="s">
        <v>65</v>
      </c>
      <c r="W34" s="120" t="s">
        <v>50</v>
      </c>
      <c r="X34" s="38" t="s">
        <v>200</v>
      </c>
      <c r="Y34" s="103" t="s">
        <v>52</v>
      </c>
      <c r="Z34" s="103" t="s">
        <v>52</v>
      </c>
      <c r="AA34" s="143"/>
      <c r="AB34" s="134"/>
      <c r="AC34" s="63" t="s">
        <v>40</v>
      </c>
      <c r="AD34" s="63" t="s">
        <v>134</v>
      </c>
      <c r="AE34" t="s">
        <v>1028</v>
      </c>
      <c r="AF34" s="63" t="s">
        <v>46</v>
      </c>
    </row>
    <row r="35" spans="1:37" s="64" customFormat="1" ht="21" customHeight="1">
      <c r="A35" s="1690"/>
      <c r="B35" s="1690"/>
      <c r="C35"/>
      <c r="D35"/>
      <c r="E35"/>
      <c r="F35"/>
      <c r="G35"/>
      <c r="H35"/>
      <c r="I35" s="38"/>
      <c r="J35" s="140" t="s">
        <v>41</v>
      </c>
      <c r="K35" s="118" t="s">
        <v>1259</v>
      </c>
      <c r="L35" s="61" t="s">
        <v>1260</v>
      </c>
      <c r="M35" s="62" t="s">
        <v>1261</v>
      </c>
      <c r="N35" s="62"/>
      <c r="O35" s="643" t="s">
        <v>46</v>
      </c>
      <c r="P35" s="643" t="s">
        <v>40</v>
      </c>
      <c r="Q35" s="385" t="s">
        <v>1571</v>
      </c>
      <c r="R35" s="62" t="s">
        <v>1255</v>
      </c>
      <c r="S35" s="62">
        <v>16</v>
      </c>
      <c r="T35" s="62">
        <v>90</v>
      </c>
      <c r="U35" s="62">
        <v>4</v>
      </c>
      <c r="V35" s="804" t="s">
        <v>65</v>
      </c>
      <c r="W35" s="120" t="s">
        <v>50</v>
      </c>
      <c r="X35" s="38" t="s">
        <v>200</v>
      </c>
      <c r="Y35" s="103" t="s">
        <v>52</v>
      </c>
      <c r="Z35" s="103" t="s">
        <v>52</v>
      </c>
      <c r="AA35" s="143"/>
      <c r="AB35" s="134"/>
      <c r="AC35" s="63" t="s">
        <v>40</v>
      </c>
      <c r="AD35" s="63" t="s">
        <v>134</v>
      </c>
      <c r="AE35" t="s">
        <v>1028</v>
      </c>
      <c r="AF35" s="63" t="s">
        <v>46</v>
      </c>
    </row>
    <row r="36" spans="1:37" s="64" customFormat="1" ht="27.75" customHeight="1">
      <c r="A36" s="1690"/>
      <c r="B36" s="1690"/>
      <c r="C36"/>
      <c r="D36"/>
      <c r="E36"/>
      <c r="F36"/>
      <c r="G36"/>
      <c r="H36"/>
      <c r="I36" s="38"/>
      <c r="J36" s="632" t="s">
        <v>41</v>
      </c>
      <c r="K36" s="118" t="s">
        <v>1262</v>
      </c>
      <c r="L36" s="61" t="s">
        <v>1263</v>
      </c>
      <c r="M36" s="62" t="s">
        <v>1264</v>
      </c>
      <c r="N36" s="62" t="s">
        <v>1572</v>
      </c>
      <c r="O36" s="643" t="s">
        <v>46</v>
      </c>
      <c r="P36" s="643" t="s">
        <v>40</v>
      </c>
      <c r="Q36" s="385" t="s">
        <v>1254</v>
      </c>
      <c r="R36" s="62" t="s">
        <v>1255</v>
      </c>
      <c r="S36" s="62">
        <v>32</v>
      </c>
      <c r="T36" s="62">
        <v>220</v>
      </c>
      <c r="U36" s="62">
        <v>4</v>
      </c>
      <c r="V36" s="804" t="s">
        <v>65</v>
      </c>
      <c r="W36" s="120" t="s">
        <v>50</v>
      </c>
      <c r="X36" s="38" t="s">
        <v>200</v>
      </c>
      <c r="Y36" s="103" t="s">
        <v>52</v>
      </c>
      <c r="Z36" s="103" t="s">
        <v>52</v>
      </c>
      <c r="AA36" s="143"/>
      <c r="AB36" s="134"/>
      <c r="AC36" s="63" t="s">
        <v>40</v>
      </c>
      <c r="AD36" s="63" t="s">
        <v>134</v>
      </c>
      <c r="AE36" t="s">
        <v>1005</v>
      </c>
      <c r="AF36" s="63" t="s">
        <v>46</v>
      </c>
    </row>
    <row r="37" spans="1:37" s="93" customFormat="1" ht="72.75" customHeight="1">
      <c r="A37" s="1690"/>
      <c r="B37" s="1690"/>
      <c r="C37" s="109"/>
      <c r="D37" s="109"/>
      <c r="E37" s="109"/>
      <c r="F37" s="109"/>
      <c r="G37" s="109"/>
      <c r="H37" s="109"/>
      <c r="I37" s="133"/>
      <c r="J37" s="38" t="s">
        <v>41</v>
      </c>
      <c r="K37" s="298" t="s">
        <v>1286</v>
      </c>
      <c r="L37" s="125" t="s">
        <v>1287</v>
      </c>
      <c r="M37" s="125" t="s">
        <v>1288</v>
      </c>
      <c r="N37" s="125" t="s">
        <v>1289</v>
      </c>
      <c r="O37" s="643" t="s">
        <v>46</v>
      </c>
      <c r="P37" s="644" t="s">
        <v>40</v>
      </c>
      <c r="Q37" s="385" t="s">
        <v>1153</v>
      </c>
      <c r="R37" s="125" t="s">
        <v>769</v>
      </c>
      <c r="S37" s="125">
        <v>16</v>
      </c>
      <c r="T37" s="125">
        <v>120</v>
      </c>
      <c r="U37" s="117">
        <v>4</v>
      </c>
      <c r="V37" s="630" t="s">
        <v>65</v>
      </c>
      <c r="W37" s="121" t="s">
        <v>65</v>
      </c>
      <c r="X37" s="38" t="s">
        <v>200</v>
      </c>
      <c r="Y37" s="38" t="s">
        <v>52</v>
      </c>
      <c r="Z37" s="38" t="s">
        <v>52</v>
      </c>
      <c r="AA37" s="567"/>
      <c r="AB37" s="119"/>
      <c r="AC37" s="119" t="s">
        <v>40</v>
      </c>
      <c r="AD37" s="119"/>
      <c r="AE37" t="s">
        <v>1290</v>
      </c>
      <c r="AF37" s="119" t="s">
        <v>46</v>
      </c>
    </row>
    <row r="38" spans="1:37" s="64" customFormat="1" ht="24.75">
      <c r="A38" s="1690"/>
      <c r="B38" s="1690"/>
      <c r="C38"/>
      <c r="D38"/>
      <c r="E38"/>
      <c r="F38"/>
      <c r="G38"/>
      <c r="H38"/>
      <c r="I38" s="612"/>
      <c r="J38" s="174" t="s">
        <v>41</v>
      </c>
      <c r="K38" s="691" t="s">
        <v>1573</v>
      </c>
      <c r="L38" s="99" t="s">
        <v>1574</v>
      </c>
      <c r="M38" s="59" t="s">
        <v>1575</v>
      </c>
      <c r="N38" s="92"/>
      <c r="O38" s="643" t="s">
        <v>46</v>
      </c>
      <c r="P38" s="645" t="s">
        <v>40</v>
      </c>
      <c r="Q38" s="99" t="s">
        <v>235</v>
      </c>
      <c r="R38" s="92" t="s">
        <v>1255</v>
      </c>
      <c r="S38" s="92">
        <v>32</v>
      </c>
      <c r="T38" s="92">
        <v>180</v>
      </c>
      <c r="U38" s="92">
        <v>8</v>
      </c>
      <c r="V38" s="136"/>
      <c r="W38" s="123" t="s">
        <v>65</v>
      </c>
      <c r="X38" s="38" t="s">
        <v>51</v>
      </c>
      <c r="Y38" s="103" t="s">
        <v>52</v>
      </c>
      <c r="Z38" s="103" t="s">
        <v>52</v>
      </c>
      <c r="AA38" s="144"/>
      <c r="AB38" s="29"/>
      <c r="AC38" s="29" t="s">
        <v>40</v>
      </c>
      <c r="AD38" s="54" t="s">
        <v>134</v>
      </c>
      <c r="AE38" s="54"/>
      <c r="AF38" s="29" t="s">
        <v>46</v>
      </c>
      <c r="AG38"/>
      <c r="AH38"/>
      <c r="AI38"/>
      <c r="AJ38"/>
      <c r="AK38"/>
    </row>
    <row r="39" spans="1:37" s="397" customFormat="1" ht="71.25" customHeight="1">
      <c r="A39" s="1691"/>
      <c r="B39" s="1691"/>
      <c r="C39" s="623" t="s">
        <v>963</v>
      </c>
      <c r="D39" s="623"/>
      <c r="E39" s="623"/>
      <c r="F39" s="623"/>
      <c r="G39" s="623"/>
      <c r="H39" s="623"/>
      <c r="I39" s="44"/>
      <c r="J39" s="183" t="s">
        <v>41</v>
      </c>
      <c r="K39" s="637" t="s">
        <v>964</v>
      </c>
      <c r="L39" s="391" t="s">
        <v>965</v>
      </c>
      <c r="M39" s="392" t="s">
        <v>966</v>
      </c>
      <c r="N39" s="393"/>
      <c r="O39" s="646" t="s">
        <v>46</v>
      </c>
      <c r="P39" s="646" t="s">
        <v>40</v>
      </c>
      <c r="Q39" s="393" t="s">
        <v>1576</v>
      </c>
      <c r="R39" s="393" t="s">
        <v>545</v>
      </c>
      <c r="S39" s="393">
        <v>4</v>
      </c>
      <c r="T39" s="393">
        <v>50</v>
      </c>
      <c r="U39" s="393">
        <v>2</v>
      </c>
      <c r="V39" s="806"/>
      <c r="W39" s="394" t="s">
        <v>50</v>
      </c>
      <c r="X39" s="38" t="s">
        <v>51</v>
      </c>
      <c r="Y39" s="103" t="s">
        <v>52</v>
      </c>
      <c r="Z39" s="103" t="s">
        <v>52</v>
      </c>
      <c r="AA39" s="145"/>
      <c r="AB39" s="139"/>
      <c r="AC39" s="395" t="s">
        <v>40</v>
      </c>
      <c r="AD39" s="54" t="s">
        <v>134</v>
      </c>
      <c r="AE39" t="s">
        <v>920</v>
      </c>
      <c r="AF39" s="396" t="s">
        <v>46</v>
      </c>
    </row>
    <row r="40" spans="1:37" s="196" customFormat="1" ht="9" customHeight="1">
      <c r="A40" s="622"/>
      <c r="B40" s="184"/>
      <c r="C40" s="185"/>
      <c r="D40" s="185"/>
      <c r="E40" s="186"/>
      <c r="F40" s="186"/>
      <c r="G40" s="186"/>
      <c r="H40" s="186"/>
      <c r="I40" s="187"/>
      <c r="J40" s="188"/>
      <c r="K40" s="189"/>
      <c r="L40" s="190"/>
      <c r="M40" s="191"/>
      <c r="N40" s="192"/>
      <c r="O40" s="665"/>
      <c r="P40" s="665"/>
      <c r="Q40" s="192"/>
      <c r="R40" s="192"/>
      <c r="S40" s="192"/>
      <c r="T40" s="192"/>
      <c r="U40" s="192"/>
      <c r="V40" s="807"/>
      <c r="W40" s="193"/>
      <c r="X40" s="192"/>
      <c r="Y40" s="248"/>
      <c r="Z40" s="248"/>
      <c r="AA40" s="249"/>
      <c r="AB40" s="250"/>
      <c r="AC40" s="194"/>
      <c r="AD40" s="194"/>
      <c r="AE40" s="194"/>
      <c r="AF40" s="195"/>
    </row>
    <row r="41" spans="1:37" s="57" customFormat="1" ht="53.25" customHeight="1">
      <c r="A41" s="622"/>
      <c r="B41" s="619" t="s">
        <v>967</v>
      </c>
      <c r="C41" s="152" t="s">
        <v>856</v>
      </c>
      <c r="D41" s="269" t="s">
        <v>968</v>
      </c>
      <c r="E41" s="65" t="s">
        <v>969</v>
      </c>
      <c r="F41" s="174">
        <v>1</v>
      </c>
      <c r="G41" s="419" t="s">
        <v>970</v>
      </c>
      <c r="H41" s="420" t="s">
        <v>860</v>
      </c>
      <c r="I41" s="38">
        <f>COUNTIF(J41:J50,"=VIRTUAL")</f>
        <v>10</v>
      </c>
      <c r="J41" s="154" t="s">
        <v>41</v>
      </c>
      <c r="K41" s="228" t="s">
        <v>1577</v>
      </c>
      <c r="L41" s="112" t="s">
        <v>1578</v>
      </c>
      <c r="M41" s="99" t="s">
        <v>1579</v>
      </c>
      <c r="O41" s="613" t="s">
        <v>46</v>
      </c>
      <c r="P41" s="613" t="s">
        <v>40</v>
      </c>
      <c r="Q41" s="664" t="s">
        <v>1580</v>
      </c>
      <c r="R41" s="229" t="s">
        <v>769</v>
      </c>
      <c r="S41" s="234">
        <v>16</v>
      </c>
      <c r="T41" s="234">
        <v>120</v>
      </c>
      <c r="U41" s="234">
        <v>4</v>
      </c>
      <c r="V41" s="808"/>
      <c r="W41" s="227" t="s">
        <v>50</v>
      </c>
      <c r="X41" s="38" t="s">
        <v>51</v>
      </c>
      <c r="Y41" s="156"/>
      <c r="Z41" s="156"/>
      <c r="AA41" s="156"/>
      <c r="AB41" s="156"/>
      <c r="AC41" s="156"/>
      <c r="AD41" s="156" t="s">
        <v>219</v>
      </c>
      <c r="AE41" s="156"/>
      <c r="AF41" s="156"/>
    </row>
    <row r="42" spans="1:37" s="57" customFormat="1" ht="51.75" customHeight="1">
      <c r="A42" s="622"/>
      <c r="B42" s="620"/>
      <c r="C42" s="152" t="s">
        <v>856</v>
      </c>
      <c r="D42" s="269" t="s">
        <v>971</v>
      </c>
      <c r="E42" s="65" t="s">
        <v>972</v>
      </c>
      <c r="F42" s="174">
        <v>1</v>
      </c>
      <c r="G42" s="419" t="s">
        <v>973</v>
      </c>
      <c r="H42" s="420" t="s">
        <v>860</v>
      </c>
      <c r="I42" s="38"/>
      <c r="J42" s="38" t="s">
        <v>41</v>
      </c>
      <c r="K42" s="106" t="s">
        <v>1581</v>
      </c>
      <c r="L42" s="99" t="s">
        <v>1582</v>
      </c>
      <c r="M42" s="99" t="s">
        <v>1583</v>
      </c>
      <c r="N42" s="234"/>
      <c r="O42" s="613" t="s">
        <v>46</v>
      </c>
      <c r="P42" s="666" t="s">
        <v>40</v>
      </c>
      <c r="Q42" s="234" t="s">
        <v>1584</v>
      </c>
      <c r="R42" s="234" t="s">
        <v>899</v>
      </c>
      <c r="S42" s="234">
        <v>16</v>
      </c>
      <c r="T42" s="234">
        <v>170</v>
      </c>
      <c r="U42" s="234">
        <v>4</v>
      </c>
      <c r="V42" s="808"/>
      <c r="W42" s="227" t="s">
        <v>50</v>
      </c>
      <c r="X42" s="38" t="s">
        <v>51</v>
      </c>
      <c r="Y42" s="45"/>
      <c r="Z42" s="45"/>
      <c r="AA42" s="149"/>
      <c r="AB42" s="149"/>
      <c r="AC42" s="156"/>
      <c r="AD42" s="156" t="s">
        <v>219</v>
      </c>
      <c r="AE42" s="156"/>
      <c r="AF42" s="236"/>
    </row>
    <row r="43" spans="1:37" s="57" customFormat="1" ht="51.75" customHeight="1">
      <c r="A43" s="622"/>
      <c r="B43" s="620"/>
      <c r="C43" s="152" t="s">
        <v>856</v>
      </c>
      <c r="D43" s="269" t="s">
        <v>975</v>
      </c>
      <c r="E43" s="65" t="s">
        <v>976</v>
      </c>
      <c r="F43" s="174">
        <v>1</v>
      </c>
      <c r="G43" s="419" t="s">
        <v>977</v>
      </c>
      <c r="H43" s="420" t="s">
        <v>860</v>
      </c>
      <c r="I43" s="38"/>
      <c r="J43" s="38" t="s">
        <v>41</v>
      </c>
      <c r="K43" s="106" t="s">
        <v>1585</v>
      </c>
      <c r="L43" s="99" t="s">
        <v>1586</v>
      </c>
      <c r="M43" s="99" t="s">
        <v>1587</v>
      </c>
      <c r="N43" s="234"/>
      <c r="O43" s="613" t="s">
        <v>46</v>
      </c>
      <c r="P43" s="647" t="s">
        <v>40</v>
      </c>
      <c r="Q43" s="234" t="s">
        <v>1584</v>
      </c>
      <c r="R43" s="234" t="s">
        <v>899</v>
      </c>
      <c r="S43" s="234">
        <v>24</v>
      </c>
      <c r="T43" s="234">
        <v>120</v>
      </c>
      <c r="U43" s="234">
        <v>24</v>
      </c>
      <c r="V43" s="808"/>
      <c r="W43" s="227" t="s">
        <v>50</v>
      </c>
      <c r="X43" s="38" t="s">
        <v>51</v>
      </c>
      <c r="Y43" s="251" t="s">
        <v>52</v>
      </c>
      <c r="Z43" s="251" t="s">
        <v>52</v>
      </c>
      <c r="AA43" s="252"/>
      <c r="AB43" s="253"/>
      <c r="AC43" s="254"/>
      <c r="AD43" s="156" t="s">
        <v>219</v>
      </c>
      <c r="AE43" s="254"/>
      <c r="AF43" s="255"/>
    </row>
    <row r="44" spans="1:37" s="57" customFormat="1" ht="25.5" customHeight="1">
      <c r="A44" s="622"/>
      <c r="B44" s="620"/>
      <c r="C44" s="109"/>
      <c r="D44" s="109"/>
      <c r="E44" s="109"/>
      <c r="F44" s="109"/>
      <c r="G44" s="109"/>
      <c r="H44" s="109"/>
      <c r="I44" s="38"/>
      <c r="J44" s="38" t="s">
        <v>41</v>
      </c>
      <c r="K44" s="106" t="s">
        <v>1588</v>
      </c>
      <c r="L44" s="99" t="s">
        <v>1589</v>
      </c>
      <c r="M44" s="99" t="s">
        <v>1590</v>
      </c>
      <c r="N44" s="234"/>
      <c r="O44" s="613" t="s">
        <v>46</v>
      </c>
      <c r="P44" s="647" t="s">
        <v>40</v>
      </c>
      <c r="Q44" s="234" t="s">
        <v>1584</v>
      </c>
      <c r="R44" s="234" t="s">
        <v>899</v>
      </c>
      <c r="S44" s="234">
        <v>24</v>
      </c>
      <c r="T44" s="234">
        <v>120</v>
      </c>
      <c r="U44" s="234">
        <v>24</v>
      </c>
      <c r="V44" s="808"/>
      <c r="W44" s="227" t="s">
        <v>50</v>
      </c>
      <c r="X44" s="38" t="s">
        <v>51</v>
      </c>
      <c r="Y44" s="45" t="s">
        <v>52</v>
      </c>
      <c r="Z44" s="45" t="s">
        <v>52</v>
      </c>
      <c r="AA44" s="148"/>
      <c r="AB44" s="149"/>
      <c r="AC44" s="150"/>
      <c r="AD44" s="156" t="s">
        <v>219</v>
      </c>
      <c r="AE44" s="150"/>
      <c r="AF44" s="151"/>
    </row>
    <row r="45" spans="1:37" s="57" customFormat="1" ht="25.5" customHeight="1">
      <c r="A45" s="622"/>
      <c r="B45" s="620"/>
      <c r="I45" s="38"/>
      <c r="J45" s="38" t="s">
        <v>41</v>
      </c>
      <c r="K45" s="106" t="s">
        <v>1591</v>
      </c>
      <c r="L45" s="99" t="s">
        <v>1589</v>
      </c>
      <c r="M45" s="99" t="s">
        <v>1592</v>
      </c>
      <c r="N45" s="234"/>
      <c r="O45" s="613" t="s">
        <v>46</v>
      </c>
      <c r="P45" s="647" t="s">
        <v>40</v>
      </c>
      <c r="Q45" s="234" t="s">
        <v>1584</v>
      </c>
      <c r="R45" s="234" t="s">
        <v>899</v>
      </c>
      <c r="S45" s="234">
        <v>24</v>
      </c>
      <c r="T45" s="234">
        <v>120</v>
      </c>
      <c r="U45" s="234">
        <v>24</v>
      </c>
      <c r="V45" s="808"/>
      <c r="W45" s="227" t="s">
        <v>50</v>
      </c>
      <c r="X45" s="38" t="s">
        <v>51</v>
      </c>
      <c r="Y45" s="45" t="s">
        <v>52</v>
      </c>
      <c r="Z45" s="45" t="s">
        <v>52</v>
      </c>
      <c r="AA45" s="148"/>
      <c r="AB45" s="149"/>
      <c r="AC45" s="150"/>
      <c r="AD45" s="156" t="s">
        <v>219</v>
      </c>
      <c r="AE45" s="150"/>
      <c r="AF45" s="151"/>
    </row>
    <row r="46" spans="1:37" s="57" customFormat="1" ht="25.5" customHeight="1">
      <c r="A46" s="622"/>
      <c r="B46" s="620"/>
      <c r="I46" s="38"/>
      <c r="J46" s="38" t="s">
        <v>41</v>
      </c>
      <c r="K46" s="282" t="s">
        <v>1593</v>
      </c>
      <c r="L46" s="99" t="s">
        <v>1594</v>
      </c>
      <c r="M46" s="99" t="s">
        <v>1595</v>
      </c>
      <c r="N46" s="234"/>
      <c r="O46" s="613" t="s">
        <v>46</v>
      </c>
      <c r="P46" s="647" t="s">
        <v>40</v>
      </c>
      <c r="Q46" s="234" t="s">
        <v>1584</v>
      </c>
      <c r="R46" s="234" t="s">
        <v>899</v>
      </c>
      <c r="S46" s="234">
        <v>8</v>
      </c>
      <c r="T46" s="234">
        <v>150</v>
      </c>
      <c r="U46" s="234">
        <v>4</v>
      </c>
      <c r="V46" s="808"/>
      <c r="W46" s="227" t="s">
        <v>50</v>
      </c>
      <c r="X46" s="38" t="s">
        <v>51</v>
      </c>
      <c r="Y46" s="45" t="s">
        <v>52</v>
      </c>
      <c r="Z46" s="45" t="s">
        <v>52</v>
      </c>
      <c r="AA46" s="148"/>
      <c r="AB46" s="149"/>
      <c r="AC46" s="150"/>
      <c r="AD46" s="156" t="s">
        <v>219</v>
      </c>
      <c r="AE46" s="150"/>
      <c r="AF46" s="151"/>
    </row>
    <row r="47" spans="1:37" s="57" customFormat="1" ht="25.5" customHeight="1">
      <c r="A47" s="622"/>
      <c r="B47" s="620"/>
      <c r="I47" s="38"/>
      <c r="J47" s="133" t="s">
        <v>41</v>
      </c>
      <c r="K47" s="634" t="s">
        <v>1596</v>
      </c>
      <c r="L47" s="635" t="s">
        <v>1597</v>
      </c>
      <c r="M47" s="636" t="s">
        <v>1598</v>
      </c>
      <c r="N47" s="234"/>
      <c r="O47" s="613" t="s">
        <v>46</v>
      </c>
      <c r="P47" s="647" t="s">
        <v>40</v>
      </c>
      <c r="Q47" s="234" t="s">
        <v>1599</v>
      </c>
      <c r="R47" s="229" t="s">
        <v>769</v>
      </c>
      <c r="S47" s="235">
        <v>24</v>
      </c>
      <c r="T47" s="235">
        <v>500</v>
      </c>
      <c r="U47" s="235">
        <v>8</v>
      </c>
      <c r="V47" s="808"/>
      <c r="W47" s="238" t="s">
        <v>50</v>
      </c>
      <c r="X47" s="38" t="s">
        <v>51</v>
      </c>
      <c r="Y47" s="239"/>
      <c r="Z47" s="239"/>
      <c r="AA47" s="240"/>
      <c r="AB47" s="241"/>
      <c r="AC47" s="150"/>
      <c r="AD47" s="150" t="s">
        <v>219</v>
      </c>
      <c r="AE47" s="150"/>
      <c r="AF47" s="151"/>
    </row>
    <row r="48" spans="1:37" s="57" customFormat="1" ht="36" customHeight="1">
      <c r="A48" s="622"/>
      <c r="B48" s="620"/>
      <c r="I48" s="38"/>
      <c r="J48" s="299" t="s">
        <v>41</v>
      </c>
      <c r="K48" s="106" t="s">
        <v>1600</v>
      </c>
      <c r="L48" s="597" t="s">
        <v>1601</v>
      </c>
      <c r="M48" s="99" t="s">
        <v>1602</v>
      </c>
      <c r="N48" s="235"/>
      <c r="O48" s="613" t="s">
        <v>46</v>
      </c>
      <c r="P48" s="648" t="s">
        <v>40</v>
      </c>
      <c r="Q48" s="283" t="s">
        <v>1603</v>
      </c>
      <c r="R48" s="235" t="s">
        <v>168</v>
      </c>
      <c r="S48" s="234">
        <v>32</v>
      </c>
      <c r="T48" s="234">
        <v>120</v>
      </c>
      <c r="U48" s="234">
        <v>12</v>
      </c>
      <c r="V48" s="234"/>
      <c r="W48" s="45" t="s">
        <v>50</v>
      </c>
      <c r="X48" s="38" t="s">
        <v>51</v>
      </c>
      <c r="Y48" s="45"/>
      <c r="Z48" s="45"/>
      <c r="AA48" s="149"/>
      <c r="AB48" s="149"/>
      <c r="AC48" s="156" t="s">
        <v>48</v>
      </c>
      <c r="AD48" s="156" t="s">
        <v>219</v>
      </c>
      <c r="AE48" s="156"/>
      <c r="AF48" s="236" t="s">
        <v>46</v>
      </c>
    </row>
    <row r="49" spans="1:37" s="57" customFormat="1" ht="14.45" customHeight="1">
      <c r="A49" s="622"/>
      <c r="B49" s="620"/>
      <c r="I49" s="38"/>
      <c r="J49" s="133" t="s">
        <v>41</v>
      </c>
      <c r="K49" s="106" t="s">
        <v>1604</v>
      </c>
      <c r="L49" s="298" t="s">
        <v>1605</v>
      </c>
      <c r="M49" s="99" t="s">
        <v>1606</v>
      </c>
      <c r="N49" s="234"/>
      <c r="O49" s="613" t="s">
        <v>46</v>
      </c>
      <c r="P49" s="667" t="s">
        <v>40</v>
      </c>
      <c r="Q49" s="234" t="s">
        <v>1584</v>
      </c>
      <c r="R49" s="234" t="s">
        <v>899</v>
      </c>
      <c r="S49" s="281">
        <v>12</v>
      </c>
      <c r="T49" s="234">
        <v>250</v>
      </c>
      <c r="U49" s="234">
        <v>8</v>
      </c>
      <c r="V49" s="234"/>
      <c r="W49" s="45" t="s">
        <v>86</v>
      </c>
      <c r="X49" s="38" t="s">
        <v>51</v>
      </c>
      <c r="Y49" s="45"/>
      <c r="Z49" s="45"/>
      <c r="AA49" s="149"/>
      <c r="AB49" s="149"/>
      <c r="AC49" s="156"/>
      <c r="AD49" s="156"/>
      <c r="AE49" s="156"/>
      <c r="AF49" s="236"/>
    </row>
    <row r="50" spans="1:37" s="57" customFormat="1" ht="24.6" customHeight="1">
      <c r="A50" s="622"/>
      <c r="B50" s="621"/>
      <c r="I50" s="38"/>
      <c r="J50" s="157" t="s">
        <v>41</v>
      </c>
      <c r="K50" s="106" t="s">
        <v>1607</v>
      </c>
      <c r="L50" s="390" t="s">
        <v>1608</v>
      </c>
      <c r="M50" s="99" t="s">
        <v>1609</v>
      </c>
      <c r="N50" s="284"/>
      <c r="O50" s="613" t="s">
        <v>46</v>
      </c>
      <c r="P50" s="647" t="s">
        <v>46</v>
      </c>
      <c r="Q50" s="668" t="s">
        <v>1148</v>
      </c>
      <c r="R50" s="284" t="s">
        <v>1610</v>
      </c>
      <c r="S50" s="234">
        <v>21</v>
      </c>
      <c r="T50" s="234">
        <v>49</v>
      </c>
      <c r="U50" s="234">
        <v>4</v>
      </c>
      <c r="V50" s="234"/>
      <c r="W50" s="45" t="s">
        <v>50</v>
      </c>
      <c r="X50" s="38" t="s">
        <v>51</v>
      </c>
      <c r="Y50" s="45" t="s">
        <v>52</v>
      </c>
      <c r="Z50" s="45" t="s">
        <v>52</v>
      </c>
      <c r="AA50" s="149"/>
      <c r="AB50" s="149"/>
      <c r="AC50" s="156" t="s">
        <v>40</v>
      </c>
      <c r="AD50" s="156" t="s">
        <v>134</v>
      </c>
      <c r="AE50" t="s">
        <v>920</v>
      </c>
      <c r="AF50" s="236" t="s">
        <v>46</v>
      </c>
    </row>
    <row r="51" spans="1:37" s="196" customFormat="1" ht="9" customHeight="1">
      <c r="A51" s="622"/>
      <c r="B51" s="184"/>
      <c r="C51" s="185"/>
      <c r="D51" s="185"/>
      <c r="E51" s="186"/>
      <c r="F51" s="186"/>
      <c r="G51" s="186"/>
      <c r="H51" s="186"/>
      <c r="I51" s="187"/>
      <c r="J51" s="230"/>
      <c r="K51" s="231"/>
      <c r="L51" s="190"/>
      <c r="M51" s="232"/>
      <c r="N51" s="233"/>
      <c r="O51" s="649"/>
      <c r="P51" s="649"/>
      <c r="Q51" s="233"/>
      <c r="R51" s="233"/>
      <c r="S51" s="233"/>
      <c r="T51" s="233"/>
      <c r="U51" s="233"/>
      <c r="V51" s="809"/>
      <c r="W51" s="242"/>
      <c r="X51" s="233"/>
      <c r="Y51" s="243"/>
      <c r="Z51" s="243"/>
      <c r="AA51" s="244"/>
      <c r="AB51" s="245"/>
      <c r="AC51" s="246"/>
      <c r="AD51" s="246"/>
      <c r="AE51" s="246"/>
      <c r="AF51" s="247"/>
    </row>
    <row r="52" spans="1:37" s="93" customFormat="1" ht="59.25" customHeight="1">
      <c r="A52" s="219"/>
      <c r="B52" s="219" t="s">
        <v>978</v>
      </c>
      <c r="C52" s="380" t="s">
        <v>856</v>
      </c>
      <c r="D52" s="380" t="s">
        <v>982</v>
      </c>
      <c r="E52" s="380" t="s">
        <v>983</v>
      </c>
      <c r="F52" s="381">
        <v>1</v>
      </c>
      <c r="G52" s="385" t="s">
        <v>979</v>
      </c>
      <c r="H52" s="382" t="s">
        <v>860</v>
      </c>
      <c r="I52" s="262" t="s">
        <v>46</v>
      </c>
      <c r="J52" s="175" t="s">
        <v>479</v>
      </c>
      <c r="K52" s="383" t="s">
        <v>984</v>
      </c>
      <c r="L52" s="384" t="s">
        <v>985</v>
      </c>
      <c r="M52" s="385" t="s">
        <v>983</v>
      </c>
      <c r="N52" s="385"/>
      <c r="O52" s="643" t="s">
        <v>40</v>
      </c>
      <c r="P52" s="643" t="s">
        <v>46</v>
      </c>
      <c r="Q52" s="385" t="s">
        <v>356</v>
      </c>
      <c r="R52" s="385" t="s">
        <v>986</v>
      </c>
      <c r="S52" s="385">
        <v>384</v>
      </c>
      <c r="T52" s="386">
        <v>9728</v>
      </c>
      <c r="U52" s="385">
        <v>16</v>
      </c>
      <c r="V52" s="805"/>
      <c r="W52" s="158" t="s">
        <v>86</v>
      </c>
      <c r="X52" s="38" t="s">
        <v>51</v>
      </c>
      <c r="Y52" s="38" t="s">
        <v>206</v>
      </c>
      <c r="Z52" s="38" t="s">
        <v>207</v>
      </c>
      <c r="AA52" s="143"/>
      <c r="AB52" s="134"/>
      <c r="AC52" s="387" t="s">
        <v>48</v>
      </c>
      <c r="AD52" s="387"/>
      <c r="AE52" s="387"/>
      <c r="AF52" s="388" t="s">
        <v>980</v>
      </c>
    </row>
    <row r="53" spans="1:37" s="762" customFormat="1" ht="51" customHeight="1">
      <c r="A53" s="790"/>
      <c r="B53" s="790"/>
      <c r="C53" s="791"/>
      <c r="D53" s="791"/>
      <c r="E53" s="791"/>
      <c r="F53" s="792" t="s">
        <v>46</v>
      </c>
      <c r="G53" s="793"/>
      <c r="H53" s="794"/>
      <c r="I53" s="792" t="s">
        <v>46</v>
      </c>
      <c r="J53" s="795" t="s">
        <v>479</v>
      </c>
      <c r="K53" s="796" t="s">
        <v>1611</v>
      </c>
      <c r="L53" s="793" t="s">
        <v>1612</v>
      </c>
      <c r="M53" s="793" t="s">
        <v>1375</v>
      </c>
      <c r="N53" s="793"/>
      <c r="O53" s="797" t="s">
        <v>40</v>
      </c>
      <c r="P53" s="797" t="s">
        <v>46</v>
      </c>
      <c r="Q53" s="793" t="s">
        <v>356</v>
      </c>
      <c r="R53" s="793" t="s">
        <v>1613</v>
      </c>
      <c r="S53" s="793">
        <v>264</v>
      </c>
      <c r="T53" s="798">
        <v>2560</v>
      </c>
      <c r="U53" s="793">
        <v>16</v>
      </c>
      <c r="V53" s="810"/>
      <c r="W53" s="799" t="s">
        <v>86</v>
      </c>
      <c r="X53" s="790" t="s">
        <v>51</v>
      </c>
      <c r="Y53" s="790" t="s">
        <v>206</v>
      </c>
      <c r="Z53" s="790" t="s">
        <v>207</v>
      </c>
      <c r="AA53" s="800"/>
      <c r="AB53" s="801"/>
      <c r="AC53" s="802" t="s">
        <v>48</v>
      </c>
      <c r="AD53" s="802"/>
      <c r="AE53" s="802"/>
      <c r="AF53" s="802" t="s">
        <v>1614</v>
      </c>
    </row>
    <row r="54" spans="1:37" s="163" customFormat="1" ht="12" customHeight="1">
      <c r="A54" s="161"/>
      <c r="B54" s="162"/>
      <c r="F54" s="164"/>
      <c r="G54" s="165"/>
      <c r="H54" s="165"/>
      <c r="I54" s="164"/>
      <c r="J54" s="164"/>
      <c r="K54" s="166"/>
      <c r="L54" s="166"/>
      <c r="M54" s="166"/>
      <c r="N54" s="166"/>
      <c r="O54" s="650"/>
      <c r="P54" s="650"/>
      <c r="Q54" s="166"/>
      <c r="R54" s="166"/>
      <c r="S54" s="166"/>
      <c r="T54" s="167"/>
      <c r="U54" s="166"/>
      <c r="V54" s="166"/>
      <c r="W54" s="164"/>
      <c r="X54" s="166"/>
      <c r="Y54" s="168"/>
      <c r="Z54" s="168"/>
      <c r="AA54" s="169"/>
      <c r="AB54" s="170"/>
      <c r="AC54" s="171"/>
      <c r="AD54" s="171"/>
      <c r="AE54" s="171"/>
      <c r="AF54" s="172"/>
    </row>
    <row r="55" spans="1:37" s="163" customFormat="1" ht="24" customHeight="1">
      <c r="A55" s="157" t="s">
        <v>1519</v>
      </c>
      <c r="B55" s="293" t="s">
        <v>988</v>
      </c>
      <c r="C55" s="1666" t="s">
        <v>68</v>
      </c>
      <c r="D55" s="266" t="s">
        <v>989</v>
      </c>
      <c r="E55" s="119" t="s">
        <v>990</v>
      </c>
      <c r="F55" s="1647">
        <v>4</v>
      </c>
      <c r="G55" s="99" t="s">
        <v>991</v>
      </c>
      <c r="H55" s="51" t="s">
        <v>40</v>
      </c>
      <c r="I55" s="614"/>
      <c r="J55" s="38" t="s">
        <v>41</v>
      </c>
      <c r="K55" s="125" t="s">
        <v>992</v>
      </c>
      <c r="L55" s="125" t="s">
        <v>993</v>
      </c>
      <c r="M55" s="59" t="s">
        <v>994</v>
      </c>
      <c r="N55" s="136"/>
      <c r="O55" s="644" t="s">
        <v>46</v>
      </c>
      <c r="P55" s="644" t="s">
        <v>46</v>
      </c>
      <c r="Q55" s="59" t="s">
        <v>1615</v>
      </c>
      <c r="R55" s="92" t="s">
        <v>996</v>
      </c>
      <c r="S55" s="92">
        <v>16</v>
      </c>
      <c r="T55" s="92">
        <v>600</v>
      </c>
      <c r="U55" s="92">
        <v>8</v>
      </c>
      <c r="V55" s="136"/>
      <c r="W55" s="123" t="s">
        <v>50</v>
      </c>
      <c r="X55" s="38" t="s">
        <v>51</v>
      </c>
      <c r="Y55" s="103" t="s">
        <v>52</v>
      </c>
      <c r="Z55" s="103" t="s">
        <v>52</v>
      </c>
      <c r="AA55" s="146"/>
      <c r="AB55"/>
      <c r="AC55" s="111" t="s">
        <v>40</v>
      </c>
      <c r="AD55" s="111" t="s">
        <v>134</v>
      </c>
      <c r="AE55" t="s">
        <v>997</v>
      </c>
      <c r="AF55" s="29" t="s">
        <v>46</v>
      </c>
      <c r="AG55"/>
      <c r="AH55"/>
      <c r="AI55"/>
      <c r="AJ55"/>
      <c r="AK55"/>
    </row>
    <row r="56" spans="1:37" ht="24.75" customHeight="1">
      <c r="A56" s="133" t="s">
        <v>1519</v>
      </c>
      <c r="B56" s="293" t="s">
        <v>998</v>
      </c>
      <c r="C56" s="1685"/>
      <c r="D56" s="266" t="s">
        <v>999</v>
      </c>
      <c r="E56" s="119" t="s">
        <v>1000</v>
      </c>
      <c r="F56" s="1648"/>
      <c r="G56" s="99" t="s">
        <v>991</v>
      </c>
      <c r="H56" s="51" t="s">
        <v>40</v>
      </c>
      <c r="I56" s="614">
        <f>COUNTIF(J56:J153,"=VIRTUAL")</f>
        <v>96</v>
      </c>
      <c r="J56" s="38" t="s">
        <v>41</v>
      </c>
      <c r="K56" s="99" t="s">
        <v>1001</v>
      </c>
      <c r="L56" s="99" t="s">
        <v>1002</v>
      </c>
      <c r="M56" s="59" t="s">
        <v>1003</v>
      </c>
      <c r="N56" s="136"/>
      <c r="O56" s="644" t="s">
        <v>46</v>
      </c>
      <c r="P56" s="644" t="s">
        <v>46</v>
      </c>
      <c r="Q56" s="59" t="s">
        <v>1615</v>
      </c>
      <c r="R56" s="92" t="s">
        <v>1004</v>
      </c>
      <c r="S56" s="92">
        <v>16</v>
      </c>
      <c r="T56" s="92">
        <v>1024</v>
      </c>
      <c r="U56" s="92">
        <v>8</v>
      </c>
      <c r="V56" s="136"/>
      <c r="W56" s="123" t="s">
        <v>50</v>
      </c>
      <c r="X56" s="38" t="s">
        <v>51</v>
      </c>
      <c r="Y56" s="103" t="s">
        <v>52</v>
      </c>
      <c r="Z56" s="103" t="s">
        <v>52</v>
      </c>
      <c r="AA56" s="146"/>
      <c r="AC56" s="736" t="s">
        <v>40</v>
      </c>
      <c r="AD56" s="29" t="s">
        <v>134</v>
      </c>
      <c r="AE56" t="s">
        <v>1005</v>
      </c>
      <c r="AF56" s="144" t="s">
        <v>46</v>
      </c>
    </row>
    <row r="57" spans="1:37" ht="24.6" customHeight="1">
      <c r="A57" s="133" t="s">
        <v>1519</v>
      </c>
      <c r="B57" s="293" t="s">
        <v>1006</v>
      </c>
      <c r="C57" s="1685"/>
      <c r="D57" s="266" t="s">
        <v>1007</v>
      </c>
      <c r="E57" s="119" t="s">
        <v>1008</v>
      </c>
      <c r="F57" s="1648"/>
      <c r="G57" s="99" t="s">
        <v>991</v>
      </c>
      <c r="H57" s="51" t="s">
        <v>40</v>
      </c>
      <c r="I57" s="612"/>
      <c r="J57" s="103" t="s">
        <v>41</v>
      </c>
      <c r="K57" s="51" t="s">
        <v>1009</v>
      </c>
      <c r="L57" s="99" t="s">
        <v>1010</v>
      </c>
      <c r="M57" s="129" t="s">
        <v>1011</v>
      </c>
      <c r="N57" s="670"/>
      <c r="O57" s="669" t="s">
        <v>46</v>
      </c>
      <c r="P57" s="669" t="s">
        <v>46</v>
      </c>
      <c r="Q57" s="101" t="s">
        <v>1148</v>
      </c>
      <c r="R57" s="51" t="s">
        <v>64</v>
      </c>
      <c r="S57" s="51">
        <v>92</v>
      </c>
      <c r="T57" s="51">
        <v>210</v>
      </c>
      <c r="U57" s="51">
        <v>8</v>
      </c>
      <c r="V57" s="670"/>
      <c r="W57" s="141" t="s">
        <v>50</v>
      </c>
      <c r="X57" s="38" t="s">
        <v>51</v>
      </c>
      <c r="Y57" s="103" t="s">
        <v>52</v>
      </c>
      <c r="Z57" s="103" t="s">
        <v>52</v>
      </c>
      <c r="AA57" s="144"/>
      <c r="AB57" s="88"/>
      <c r="AC57" s="29" t="s">
        <v>40</v>
      </c>
      <c r="AD57" s="53"/>
      <c r="AE57" s="53"/>
      <c r="AF57" s="53" t="s">
        <v>1012</v>
      </c>
    </row>
    <row r="58" spans="1:37" ht="24.6" customHeight="1">
      <c r="A58" s="133" t="s">
        <v>1519</v>
      </c>
      <c r="B58" s="293" t="s">
        <v>1013</v>
      </c>
      <c r="C58" s="1667"/>
      <c r="D58" s="266" t="s">
        <v>1014</v>
      </c>
      <c r="E58" s="119" t="s">
        <v>1015</v>
      </c>
      <c r="F58" s="1649"/>
      <c r="G58" s="99" t="s">
        <v>991</v>
      </c>
      <c r="H58" s="51" t="s">
        <v>40</v>
      </c>
      <c r="I58" s="612"/>
      <c r="J58" s="103" t="s">
        <v>41</v>
      </c>
      <c r="K58" s="51" t="s">
        <v>1016</v>
      </c>
      <c r="L58" s="99" t="s">
        <v>1017</v>
      </c>
      <c r="M58" s="129" t="s">
        <v>1616</v>
      </c>
      <c r="N58" s="670"/>
      <c r="O58" s="669" t="s">
        <v>46</v>
      </c>
      <c r="P58" s="669" t="s">
        <v>46</v>
      </c>
      <c r="Q58" s="101" t="s">
        <v>1148</v>
      </c>
      <c r="R58" s="51" t="s">
        <v>64</v>
      </c>
      <c r="S58" s="51">
        <v>92</v>
      </c>
      <c r="T58" s="51">
        <v>210</v>
      </c>
      <c r="U58" s="51">
        <v>8</v>
      </c>
      <c r="V58" s="670"/>
      <c r="W58" s="141" t="s">
        <v>50</v>
      </c>
      <c r="X58" s="38" t="s">
        <v>51</v>
      </c>
      <c r="Y58" s="103" t="s">
        <v>52</v>
      </c>
      <c r="Z58" s="103" t="s">
        <v>52</v>
      </c>
      <c r="AA58" s="144"/>
      <c r="AB58" s="88"/>
      <c r="AC58" s="29" t="s">
        <v>40</v>
      </c>
      <c r="AD58" s="53"/>
      <c r="AE58" s="53"/>
      <c r="AF58" s="53" t="s">
        <v>1012</v>
      </c>
    </row>
    <row r="59" spans="1:37" ht="24.6" customHeight="1">
      <c r="I59" s="612"/>
      <c r="J59" s="103" t="s">
        <v>41</v>
      </c>
      <c r="K59" s="51" t="s">
        <v>1018</v>
      </c>
      <c r="L59" s="99" t="s">
        <v>1019</v>
      </c>
      <c r="M59" s="129" t="s">
        <v>1020</v>
      </c>
      <c r="N59" s="670"/>
      <c r="O59" s="669" t="s">
        <v>46</v>
      </c>
      <c r="P59" s="669" t="s">
        <v>46</v>
      </c>
      <c r="Q59" s="101" t="s">
        <v>1148</v>
      </c>
      <c r="R59" s="51" t="s">
        <v>64</v>
      </c>
      <c r="S59" s="51">
        <v>92</v>
      </c>
      <c r="T59" s="51">
        <v>210</v>
      </c>
      <c r="U59" s="51">
        <v>8</v>
      </c>
      <c r="V59" s="670"/>
      <c r="W59" s="141" t="s">
        <v>50</v>
      </c>
      <c r="X59" s="38" t="s">
        <v>51</v>
      </c>
      <c r="Y59" s="103" t="s">
        <v>52</v>
      </c>
      <c r="Z59" s="103" t="s">
        <v>52</v>
      </c>
      <c r="AA59" s="144"/>
      <c r="AB59" s="88"/>
      <c r="AC59" s="29" t="s">
        <v>40</v>
      </c>
      <c r="AD59" s="53"/>
      <c r="AE59" s="53"/>
      <c r="AF59" s="53" t="s">
        <v>1012</v>
      </c>
    </row>
    <row r="60" spans="1:37" ht="24.6" customHeight="1">
      <c r="A60" s="31"/>
      <c r="B60" s="110"/>
      <c r="C60" s="108"/>
      <c r="D60" s="108"/>
      <c r="F60" s="109"/>
      <c r="G60" s="102"/>
      <c r="H60" s="58"/>
      <c r="I60" s="612"/>
      <c r="J60" s="103" t="s">
        <v>41</v>
      </c>
      <c r="K60" s="51" t="s">
        <v>1021</v>
      </c>
      <c r="L60" s="99" t="s">
        <v>1022</v>
      </c>
      <c r="M60" s="129" t="s">
        <v>1023</v>
      </c>
      <c r="N60" s="670"/>
      <c r="O60" s="669" t="s">
        <v>46</v>
      </c>
      <c r="P60" s="669" t="s">
        <v>46</v>
      </c>
      <c r="Q60" s="101" t="s">
        <v>1148</v>
      </c>
      <c r="R60" s="51" t="s">
        <v>64</v>
      </c>
      <c r="S60" s="51">
        <v>92</v>
      </c>
      <c r="T60" s="51">
        <v>210</v>
      </c>
      <c r="U60" s="51">
        <v>8</v>
      </c>
      <c r="V60" s="670"/>
      <c r="W60" s="141" t="s">
        <v>50</v>
      </c>
      <c r="X60" s="38" t="s">
        <v>51</v>
      </c>
      <c r="Y60" s="103" t="s">
        <v>52</v>
      </c>
      <c r="Z60" s="103" t="s">
        <v>52</v>
      </c>
      <c r="AA60" s="144"/>
      <c r="AB60" s="88"/>
      <c r="AC60" s="111" t="s">
        <v>40</v>
      </c>
      <c r="AD60" s="197"/>
      <c r="AE60" s="197"/>
      <c r="AF60" s="197" t="s">
        <v>1012</v>
      </c>
    </row>
    <row r="61" spans="1:37" ht="53.25" customHeight="1">
      <c r="A61" s="31" t="s">
        <v>62</v>
      </c>
      <c r="B61" s="110" t="s">
        <v>62</v>
      </c>
      <c r="C61" s="108" t="s">
        <v>62</v>
      </c>
      <c r="D61" s="108"/>
      <c r="F61" s="109" t="s">
        <v>62</v>
      </c>
      <c r="G61" s="102" t="s">
        <v>62</v>
      </c>
      <c r="H61" s="58" t="s">
        <v>62</v>
      </c>
      <c r="I61" s="612"/>
      <c r="J61" s="840" t="s">
        <v>41</v>
      </c>
      <c r="K61" s="841" t="s">
        <v>1617</v>
      </c>
      <c r="L61" s="691" t="s">
        <v>1618</v>
      </c>
      <c r="M61" s="842" t="s">
        <v>1619</v>
      </c>
      <c r="N61" s="843"/>
      <c r="O61" s="844" t="s">
        <v>46</v>
      </c>
      <c r="P61" s="844" t="s">
        <v>40</v>
      </c>
      <c r="Q61" s="845" t="s">
        <v>1620</v>
      </c>
      <c r="R61" s="841" t="s">
        <v>613</v>
      </c>
      <c r="S61" s="841">
        <v>28</v>
      </c>
      <c r="T61" s="841">
        <v>500</v>
      </c>
      <c r="U61" s="841">
        <v>16</v>
      </c>
      <c r="V61" s="843"/>
      <c r="W61" s="846" t="s">
        <v>50</v>
      </c>
      <c r="X61" s="580" t="s">
        <v>680</v>
      </c>
      <c r="Y61" s="840" t="s">
        <v>52</v>
      </c>
      <c r="Z61" s="840" t="s">
        <v>52</v>
      </c>
      <c r="AA61" s="847"/>
      <c r="AB61" s="88" t="s">
        <v>40</v>
      </c>
      <c r="AC61" s="29" t="s">
        <v>40</v>
      </c>
      <c r="AD61" s="111" t="s">
        <v>134</v>
      </c>
      <c r="AE61" t="s">
        <v>1621</v>
      </c>
      <c r="AF61" s="29" t="s">
        <v>46</v>
      </c>
    </row>
    <row r="62" spans="1:37" ht="24.6" customHeight="1">
      <c r="A62" s="31" t="s">
        <v>62</v>
      </c>
      <c r="B62" s="110" t="s">
        <v>62</v>
      </c>
      <c r="C62" s="108" t="s">
        <v>62</v>
      </c>
      <c r="D62" s="108"/>
      <c r="F62" s="109" t="s">
        <v>62</v>
      </c>
      <c r="G62" s="102" t="s">
        <v>62</v>
      </c>
      <c r="H62" s="58" t="s">
        <v>62</v>
      </c>
      <c r="I62" s="612"/>
      <c r="J62" s="840" t="s">
        <v>41</v>
      </c>
      <c r="K62" s="841" t="s">
        <v>1622</v>
      </c>
      <c r="L62" s="691" t="s">
        <v>1623</v>
      </c>
      <c r="M62" s="842" t="s">
        <v>1419</v>
      </c>
      <c r="N62" s="843" t="s">
        <v>62</v>
      </c>
      <c r="O62" s="844" t="s">
        <v>46</v>
      </c>
      <c r="P62" s="844" t="s">
        <v>40</v>
      </c>
      <c r="Q62" s="845" t="s">
        <v>1620</v>
      </c>
      <c r="R62" s="841" t="s">
        <v>613</v>
      </c>
      <c r="S62" s="841">
        <v>28</v>
      </c>
      <c r="T62" s="841">
        <v>500</v>
      </c>
      <c r="U62" s="841">
        <v>16</v>
      </c>
      <c r="V62" s="843"/>
      <c r="W62" s="846" t="s">
        <v>50</v>
      </c>
      <c r="X62" s="580" t="s">
        <v>680</v>
      </c>
      <c r="Y62" s="840" t="s">
        <v>52</v>
      </c>
      <c r="Z62" s="840" t="s">
        <v>52</v>
      </c>
      <c r="AA62" s="847"/>
      <c r="AB62" s="88" t="s">
        <v>40</v>
      </c>
      <c r="AC62" s="29" t="s">
        <v>40</v>
      </c>
      <c r="AD62" s="111" t="s">
        <v>134</v>
      </c>
      <c r="AE62" t="s">
        <v>1621</v>
      </c>
      <c r="AF62" s="29" t="s">
        <v>46</v>
      </c>
    </row>
    <row r="63" spans="1:37" ht="75" customHeight="1">
      <c r="A63" s="31" t="s">
        <v>62</v>
      </c>
      <c r="B63" s="110" t="s">
        <v>62</v>
      </c>
      <c r="C63" s="108" t="s">
        <v>62</v>
      </c>
      <c r="D63" s="108"/>
      <c r="F63" s="109" t="s">
        <v>62</v>
      </c>
      <c r="G63" s="102" t="s">
        <v>62</v>
      </c>
      <c r="H63" s="58" t="s">
        <v>62</v>
      </c>
      <c r="I63" s="612"/>
      <c r="J63" s="840" t="s">
        <v>41</v>
      </c>
      <c r="K63" s="841" t="s">
        <v>1624</v>
      </c>
      <c r="L63" s="691" t="s">
        <v>1625</v>
      </c>
      <c r="M63" s="842" t="s">
        <v>1626</v>
      </c>
      <c r="N63" s="843" t="s">
        <v>62</v>
      </c>
      <c r="O63" s="844" t="s">
        <v>46</v>
      </c>
      <c r="P63" s="844" t="s">
        <v>40</v>
      </c>
      <c r="Q63" s="845" t="s">
        <v>1620</v>
      </c>
      <c r="R63" s="841" t="s">
        <v>613</v>
      </c>
      <c r="S63" s="841">
        <v>48</v>
      </c>
      <c r="T63" s="841">
        <v>800</v>
      </c>
      <c r="U63" s="841">
        <v>48</v>
      </c>
      <c r="V63" s="843"/>
      <c r="W63" s="846" t="s">
        <v>50</v>
      </c>
      <c r="X63" s="580" t="s">
        <v>680</v>
      </c>
      <c r="Y63" s="840" t="s">
        <v>52</v>
      </c>
      <c r="Z63" s="840" t="s">
        <v>52</v>
      </c>
      <c r="AA63" s="847"/>
      <c r="AB63" s="88" t="s">
        <v>40</v>
      </c>
      <c r="AC63" s="29" t="s">
        <v>40</v>
      </c>
      <c r="AD63" s="111" t="s">
        <v>134</v>
      </c>
      <c r="AE63" t="s">
        <v>1621</v>
      </c>
      <c r="AF63" s="29" t="s">
        <v>46</v>
      </c>
    </row>
    <row r="64" spans="1:37" ht="24" customHeight="1">
      <c r="A64" s="31" t="s">
        <v>62</v>
      </c>
      <c r="B64" s="110" t="s">
        <v>62</v>
      </c>
      <c r="C64" s="108" t="s">
        <v>62</v>
      </c>
      <c r="D64" s="108"/>
      <c r="F64" s="109" t="s">
        <v>62</v>
      </c>
      <c r="G64" s="102" t="s">
        <v>62</v>
      </c>
      <c r="H64" s="58" t="s">
        <v>62</v>
      </c>
      <c r="I64" s="612"/>
      <c r="J64" s="840" t="s">
        <v>41</v>
      </c>
      <c r="K64" s="841" t="s">
        <v>1627</v>
      </c>
      <c r="L64" s="691" t="s">
        <v>1628</v>
      </c>
      <c r="M64" s="842" t="s">
        <v>1422</v>
      </c>
      <c r="N64" s="841" t="s">
        <v>62</v>
      </c>
      <c r="O64" s="844" t="s">
        <v>46</v>
      </c>
      <c r="P64" s="844" t="s">
        <v>40</v>
      </c>
      <c r="Q64" s="848" t="s">
        <v>1629</v>
      </c>
      <c r="R64" s="841" t="s">
        <v>613</v>
      </c>
      <c r="S64" s="841">
        <v>48</v>
      </c>
      <c r="T64" s="849">
        <v>3000</v>
      </c>
      <c r="U64" s="841">
        <v>32</v>
      </c>
      <c r="V64" s="843"/>
      <c r="W64" s="846" t="s">
        <v>50</v>
      </c>
      <c r="X64" s="580" t="s">
        <v>680</v>
      </c>
      <c r="Y64" s="840" t="s">
        <v>1630</v>
      </c>
      <c r="Z64" s="840" t="s">
        <v>1631</v>
      </c>
      <c r="AA64" s="847"/>
      <c r="AB64" s="88" t="s">
        <v>40</v>
      </c>
      <c r="AC64" s="29" t="s">
        <v>40</v>
      </c>
      <c r="AD64" s="111" t="s">
        <v>134</v>
      </c>
      <c r="AE64" t="s">
        <v>1621</v>
      </c>
      <c r="AF64" s="29" t="s">
        <v>46</v>
      </c>
    </row>
    <row r="65" spans="1:32" ht="24.6" customHeight="1">
      <c r="A65" s="31"/>
      <c r="B65" s="110"/>
      <c r="C65" s="108"/>
      <c r="D65" s="108"/>
      <c r="F65" s="109"/>
      <c r="G65" s="102"/>
      <c r="H65" s="58"/>
      <c r="I65" s="612"/>
      <c r="J65" s="840" t="s">
        <v>41</v>
      </c>
      <c r="K65" s="841" t="s">
        <v>1632</v>
      </c>
      <c r="L65" s="691" t="s">
        <v>1628</v>
      </c>
      <c r="M65" s="842" t="s">
        <v>1177</v>
      </c>
      <c r="N65" s="841"/>
      <c r="O65" s="844" t="s">
        <v>46</v>
      </c>
      <c r="P65" s="844" t="s">
        <v>40</v>
      </c>
      <c r="Q65" s="848" t="s">
        <v>1620</v>
      </c>
      <c r="R65" s="841" t="s">
        <v>613</v>
      </c>
      <c r="S65" s="841">
        <v>48</v>
      </c>
      <c r="T65" s="849">
        <v>3000</v>
      </c>
      <c r="U65" s="841">
        <v>32</v>
      </c>
      <c r="V65" s="843"/>
      <c r="W65" s="846" t="s">
        <v>50</v>
      </c>
      <c r="X65" s="580" t="s">
        <v>680</v>
      </c>
      <c r="Y65" s="840" t="s">
        <v>1630</v>
      </c>
      <c r="Z65" s="840" t="s">
        <v>1631</v>
      </c>
      <c r="AA65" s="847"/>
      <c r="AB65" s="88"/>
      <c r="AC65" s="29"/>
      <c r="AD65" s="29" t="s">
        <v>134</v>
      </c>
      <c r="AE65" t="s">
        <v>1621</v>
      </c>
      <c r="AF65" s="29"/>
    </row>
    <row r="66" spans="1:32" ht="24.6" customHeight="1">
      <c r="A66" s="31" t="s">
        <v>62</v>
      </c>
      <c r="B66" s="110" t="s">
        <v>62</v>
      </c>
      <c r="C66" s="108" t="s">
        <v>62</v>
      </c>
      <c r="D66" s="108"/>
      <c r="F66" s="109" t="s">
        <v>62</v>
      </c>
      <c r="G66" s="102" t="s">
        <v>62</v>
      </c>
      <c r="H66" s="58" t="s">
        <v>62</v>
      </c>
      <c r="I66" s="612"/>
      <c r="J66" s="840" t="s">
        <v>41</v>
      </c>
      <c r="K66" s="841" t="s">
        <v>1633</v>
      </c>
      <c r="L66" s="691" t="s">
        <v>1634</v>
      </c>
      <c r="M66" s="842" t="s">
        <v>1412</v>
      </c>
      <c r="N66" s="841" t="s">
        <v>62</v>
      </c>
      <c r="O66" s="844" t="s">
        <v>46</v>
      </c>
      <c r="P66" s="844" t="s">
        <v>40</v>
      </c>
      <c r="Q66" s="848" t="s">
        <v>1629</v>
      </c>
      <c r="R66" s="841" t="s">
        <v>613</v>
      </c>
      <c r="S66" s="841">
        <v>32</v>
      </c>
      <c r="T66" s="841">
        <v>500</v>
      </c>
      <c r="U66" s="841">
        <v>8</v>
      </c>
      <c r="V66" s="843"/>
      <c r="W66" s="846" t="s">
        <v>50</v>
      </c>
      <c r="X66" s="580" t="s">
        <v>680</v>
      </c>
      <c r="Y66" s="840" t="s">
        <v>52</v>
      </c>
      <c r="Z66" s="840" t="s">
        <v>52</v>
      </c>
      <c r="AA66" s="847"/>
      <c r="AB66" s="88" t="s">
        <v>40</v>
      </c>
      <c r="AC66" s="29" t="s">
        <v>40</v>
      </c>
      <c r="AD66" s="29" t="s">
        <v>134</v>
      </c>
      <c r="AE66" t="s">
        <v>1621</v>
      </c>
      <c r="AF66" s="29" t="s">
        <v>46</v>
      </c>
    </row>
    <row r="67" spans="1:32" ht="24.6" customHeight="1">
      <c r="A67" s="31" t="s">
        <v>62</v>
      </c>
      <c r="B67" s="110" t="s">
        <v>62</v>
      </c>
      <c r="C67" s="108" t="s">
        <v>62</v>
      </c>
      <c r="D67" s="108"/>
      <c r="F67" s="109" t="s">
        <v>62</v>
      </c>
      <c r="G67" s="102" t="s">
        <v>62</v>
      </c>
      <c r="H67" s="58" t="s">
        <v>62</v>
      </c>
      <c r="I67" s="612"/>
      <c r="J67" s="840" t="s">
        <v>41</v>
      </c>
      <c r="K67" s="841" t="s">
        <v>1635</v>
      </c>
      <c r="L67" s="841" t="s">
        <v>619</v>
      </c>
      <c r="M67" s="842" t="s">
        <v>1636</v>
      </c>
      <c r="N67" s="841" t="s">
        <v>62</v>
      </c>
      <c r="O67" s="844" t="s">
        <v>46</v>
      </c>
      <c r="P67" s="844" t="s">
        <v>40</v>
      </c>
      <c r="Q67" s="848" t="s">
        <v>1620</v>
      </c>
      <c r="R67" s="841" t="s">
        <v>613</v>
      </c>
      <c r="S67" s="841">
        <v>48</v>
      </c>
      <c r="T67" s="841">
        <v>3510</v>
      </c>
      <c r="U67" s="841">
        <v>32</v>
      </c>
      <c r="V67" s="843"/>
      <c r="W67" s="846" t="s">
        <v>50</v>
      </c>
      <c r="X67" s="580" t="s">
        <v>680</v>
      </c>
      <c r="Y67" s="840" t="s">
        <v>52</v>
      </c>
      <c r="Z67" s="840" t="s">
        <v>52</v>
      </c>
      <c r="AA67" s="847"/>
      <c r="AB67" s="88" t="s">
        <v>40</v>
      </c>
      <c r="AC67" s="29" t="s">
        <v>40</v>
      </c>
      <c r="AD67" s="29" t="s">
        <v>134</v>
      </c>
      <c r="AE67" t="s">
        <v>1621</v>
      </c>
      <c r="AF67" s="29" t="s">
        <v>46</v>
      </c>
    </row>
    <row r="68" spans="1:32" ht="24.6" customHeight="1">
      <c r="A68" s="31" t="s">
        <v>62</v>
      </c>
      <c r="B68" s="110" t="s">
        <v>62</v>
      </c>
      <c r="C68" s="108" t="s">
        <v>62</v>
      </c>
      <c r="D68" s="108"/>
      <c r="F68" s="109" t="s">
        <v>62</v>
      </c>
      <c r="G68" s="102" t="s">
        <v>62</v>
      </c>
      <c r="H68" s="58" t="s">
        <v>62</v>
      </c>
      <c r="I68" s="612"/>
      <c r="J68" s="840" t="s">
        <v>41</v>
      </c>
      <c r="K68" s="841" t="s">
        <v>1637</v>
      </c>
      <c r="L68" s="841" t="s">
        <v>622</v>
      </c>
      <c r="M68" s="842" t="s">
        <v>1638</v>
      </c>
      <c r="N68" s="841" t="s">
        <v>62</v>
      </c>
      <c r="O68" s="844" t="s">
        <v>46</v>
      </c>
      <c r="P68" s="844" t="s">
        <v>40</v>
      </c>
      <c r="Q68" s="848" t="s">
        <v>1629</v>
      </c>
      <c r="R68" s="841" t="s">
        <v>613</v>
      </c>
      <c r="S68" s="841">
        <v>32</v>
      </c>
      <c r="T68" s="841">
        <v>600</v>
      </c>
      <c r="U68" s="841">
        <v>16</v>
      </c>
      <c r="V68" s="843"/>
      <c r="W68" s="846" t="s">
        <v>50</v>
      </c>
      <c r="X68" s="580" t="s">
        <v>680</v>
      </c>
      <c r="Y68" s="840" t="s">
        <v>52</v>
      </c>
      <c r="Z68" s="840" t="s">
        <v>52</v>
      </c>
      <c r="AA68" s="847"/>
      <c r="AB68" s="88" t="s">
        <v>40</v>
      </c>
      <c r="AC68" s="29" t="s">
        <v>40</v>
      </c>
      <c r="AD68" s="29" t="s">
        <v>134</v>
      </c>
      <c r="AE68" t="s">
        <v>1639</v>
      </c>
      <c r="AF68" s="29" t="s">
        <v>46</v>
      </c>
    </row>
    <row r="69" spans="1:32" ht="24.6" customHeight="1">
      <c r="A69" s="31" t="s">
        <v>62</v>
      </c>
      <c r="B69" s="110" t="s">
        <v>62</v>
      </c>
      <c r="C69" s="108" t="s">
        <v>62</v>
      </c>
      <c r="D69" s="108"/>
      <c r="F69" s="109" t="s">
        <v>62</v>
      </c>
      <c r="G69" s="102" t="s">
        <v>62</v>
      </c>
      <c r="H69" s="58" t="s">
        <v>62</v>
      </c>
      <c r="I69" s="612"/>
      <c r="J69" s="840" t="s">
        <v>41</v>
      </c>
      <c r="K69" s="841" t="s">
        <v>1640</v>
      </c>
      <c r="L69" s="841" t="s">
        <v>1641</v>
      </c>
      <c r="M69" s="842" t="s">
        <v>1405</v>
      </c>
      <c r="N69" s="841" t="s">
        <v>62</v>
      </c>
      <c r="O69" s="850" t="s">
        <v>46</v>
      </c>
      <c r="P69" s="850" t="s">
        <v>40</v>
      </c>
      <c r="Q69" s="848" t="s">
        <v>1620</v>
      </c>
      <c r="R69" s="841" t="s">
        <v>613</v>
      </c>
      <c r="S69" s="841">
        <v>16</v>
      </c>
      <c r="T69" s="841">
        <v>400</v>
      </c>
      <c r="U69" s="841">
        <v>8</v>
      </c>
      <c r="V69" s="843"/>
      <c r="W69" s="846" t="s">
        <v>50</v>
      </c>
      <c r="X69" s="580" t="s">
        <v>680</v>
      </c>
      <c r="Y69" s="840" t="s">
        <v>52</v>
      </c>
      <c r="Z69" s="840" t="s">
        <v>52</v>
      </c>
      <c r="AA69" s="847"/>
      <c r="AB69" s="29" t="s">
        <v>40</v>
      </c>
      <c r="AC69" s="29" t="s">
        <v>40</v>
      </c>
      <c r="AD69" s="29" t="s">
        <v>134</v>
      </c>
      <c r="AE69" t="s">
        <v>1639</v>
      </c>
      <c r="AF69" s="29" t="s">
        <v>46</v>
      </c>
    </row>
    <row r="70" spans="1:32" ht="24.6" customHeight="1">
      <c r="A70" s="31" t="s">
        <v>62</v>
      </c>
      <c r="B70" s="110" t="s">
        <v>62</v>
      </c>
      <c r="C70" s="108" t="s">
        <v>62</v>
      </c>
      <c r="D70" s="108"/>
      <c r="F70" s="109" t="s">
        <v>62</v>
      </c>
      <c r="G70" s="102" t="s">
        <v>62</v>
      </c>
      <c r="H70" s="58" t="s">
        <v>62</v>
      </c>
      <c r="I70" s="612"/>
      <c r="J70" s="840" t="s">
        <v>41</v>
      </c>
      <c r="K70" s="841" t="s">
        <v>1642</v>
      </c>
      <c r="L70" s="851" t="s">
        <v>1643</v>
      </c>
      <c r="M70" s="842" t="s">
        <v>1644</v>
      </c>
      <c r="N70" s="843" t="s">
        <v>62</v>
      </c>
      <c r="O70" s="850" t="s">
        <v>46</v>
      </c>
      <c r="P70" s="850" t="s">
        <v>40</v>
      </c>
      <c r="Q70" s="852" t="s">
        <v>1620</v>
      </c>
      <c r="R70" s="853" t="s">
        <v>168</v>
      </c>
      <c r="S70" s="841">
        <v>64</v>
      </c>
      <c r="T70" s="841">
        <v>600</v>
      </c>
      <c r="U70" s="841">
        <v>20</v>
      </c>
      <c r="V70" s="843"/>
      <c r="W70" s="846" t="s">
        <v>50</v>
      </c>
      <c r="X70" s="580" t="s">
        <v>680</v>
      </c>
      <c r="Y70" s="840" t="s">
        <v>52</v>
      </c>
      <c r="Z70" s="840" t="s">
        <v>52</v>
      </c>
      <c r="AA70" s="847"/>
      <c r="AB70" s="29" t="s">
        <v>40</v>
      </c>
      <c r="AC70" s="29" t="s">
        <v>40</v>
      </c>
      <c r="AD70" s="29" t="s">
        <v>134</v>
      </c>
      <c r="AE70" t="s">
        <v>1639</v>
      </c>
      <c r="AF70" s="29" t="s">
        <v>46</v>
      </c>
    </row>
    <row r="71" spans="1:32" ht="38.25" customHeight="1">
      <c r="A71" s="31" t="s">
        <v>62</v>
      </c>
      <c r="B71" s="110" t="s">
        <v>62</v>
      </c>
      <c r="C71" s="108" t="s">
        <v>62</v>
      </c>
      <c r="D71" s="108"/>
      <c r="F71" s="109" t="s">
        <v>62</v>
      </c>
      <c r="G71" s="102" t="s">
        <v>62</v>
      </c>
      <c r="H71" s="58" t="s">
        <v>62</v>
      </c>
      <c r="I71" s="612"/>
      <c r="J71" s="840" t="s">
        <v>41</v>
      </c>
      <c r="K71" s="841" t="s">
        <v>1645</v>
      </c>
      <c r="L71" s="691" t="s">
        <v>1646</v>
      </c>
      <c r="M71" s="842" t="s">
        <v>1372</v>
      </c>
      <c r="N71" s="843" t="s">
        <v>62</v>
      </c>
      <c r="O71" s="844" t="s">
        <v>46</v>
      </c>
      <c r="P71" s="844" t="s">
        <v>40</v>
      </c>
      <c r="Q71" s="691" t="s">
        <v>1620</v>
      </c>
      <c r="R71" s="841" t="s">
        <v>613</v>
      </c>
      <c r="S71" s="842">
        <v>32</v>
      </c>
      <c r="T71" s="841">
        <v>300</v>
      </c>
      <c r="U71" s="841">
        <v>16</v>
      </c>
      <c r="V71" s="843"/>
      <c r="W71" s="846" t="s">
        <v>50</v>
      </c>
      <c r="X71" s="580" t="s">
        <v>680</v>
      </c>
      <c r="Y71" s="840" t="s">
        <v>52</v>
      </c>
      <c r="Z71" s="840" t="s">
        <v>52</v>
      </c>
      <c r="AA71" s="847"/>
      <c r="AB71" s="29" t="s">
        <v>40</v>
      </c>
      <c r="AC71" s="29" t="s">
        <v>40</v>
      </c>
      <c r="AD71" s="29" t="s">
        <v>134</v>
      </c>
      <c r="AE71" t="s">
        <v>1639</v>
      </c>
      <c r="AF71" s="29" t="s">
        <v>46</v>
      </c>
    </row>
    <row r="72" spans="1:32" ht="51.75" customHeight="1">
      <c r="A72" s="31" t="s">
        <v>62</v>
      </c>
      <c r="B72" s="110" t="s">
        <v>62</v>
      </c>
      <c r="C72" s="108" t="s">
        <v>62</v>
      </c>
      <c r="D72" s="108"/>
      <c r="F72" s="109" t="s">
        <v>62</v>
      </c>
      <c r="G72" s="102" t="s">
        <v>62</v>
      </c>
      <c r="H72" s="58" t="s">
        <v>62</v>
      </c>
      <c r="I72" s="612"/>
      <c r="J72" s="840" t="s">
        <v>41</v>
      </c>
      <c r="K72" s="694" t="s">
        <v>1647</v>
      </c>
      <c r="L72" s="690" t="s">
        <v>1648</v>
      </c>
      <c r="M72" s="842" t="s">
        <v>1649</v>
      </c>
      <c r="N72" s="843" t="s">
        <v>62</v>
      </c>
      <c r="O72" s="844" t="s">
        <v>46</v>
      </c>
      <c r="P72" s="844" t="s">
        <v>40</v>
      </c>
      <c r="Q72" s="691" t="s">
        <v>1629</v>
      </c>
      <c r="R72" s="841" t="s">
        <v>613</v>
      </c>
      <c r="S72" s="842">
        <v>48</v>
      </c>
      <c r="T72" s="841">
        <v>5000</v>
      </c>
      <c r="U72" s="841">
        <v>16</v>
      </c>
      <c r="V72" s="843"/>
      <c r="W72" s="846" t="s">
        <v>50</v>
      </c>
      <c r="X72" s="580" t="s">
        <v>680</v>
      </c>
      <c r="Y72" s="840" t="s">
        <v>1630</v>
      </c>
      <c r="Z72" s="840" t="s">
        <v>1631</v>
      </c>
      <c r="AA72" s="847"/>
      <c r="AB72" s="29" t="s">
        <v>40</v>
      </c>
      <c r="AC72" s="29" t="s">
        <v>40</v>
      </c>
      <c r="AD72" s="29" t="s">
        <v>134</v>
      </c>
      <c r="AE72" t="s">
        <v>1639</v>
      </c>
      <c r="AF72" s="29" t="s">
        <v>46</v>
      </c>
    </row>
    <row r="73" spans="1:32" ht="24.6" customHeight="1">
      <c r="A73" s="31" t="s">
        <v>62</v>
      </c>
      <c r="B73" s="110" t="s">
        <v>62</v>
      </c>
      <c r="C73" s="108" t="s">
        <v>62</v>
      </c>
      <c r="D73" s="108"/>
      <c r="F73" s="109" t="s">
        <v>62</v>
      </c>
      <c r="G73" s="102" t="s">
        <v>62</v>
      </c>
      <c r="H73" s="58" t="s">
        <v>62</v>
      </c>
      <c r="I73" s="612"/>
      <c r="J73" s="840" t="s">
        <v>41</v>
      </c>
      <c r="K73" s="694" t="s">
        <v>1650</v>
      </c>
      <c r="L73" s="691" t="s">
        <v>1651</v>
      </c>
      <c r="M73" s="854" t="s">
        <v>1652</v>
      </c>
      <c r="N73" s="855" t="s">
        <v>1653</v>
      </c>
      <c r="O73" s="844" t="s">
        <v>46</v>
      </c>
      <c r="P73" s="844" t="s">
        <v>40</v>
      </c>
      <c r="Q73" s="691" t="s">
        <v>1629</v>
      </c>
      <c r="R73" s="841" t="s">
        <v>613</v>
      </c>
      <c r="S73" s="842">
        <v>16</v>
      </c>
      <c r="T73" s="841">
        <v>550</v>
      </c>
      <c r="U73" s="841">
        <v>8</v>
      </c>
      <c r="V73" s="843"/>
      <c r="W73" s="846" t="s">
        <v>50</v>
      </c>
      <c r="X73" s="580" t="s">
        <v>680</v>
      </c>
      <c r="Y73" s="840" t="s">
        <v>1630</v>
      </c>
      <c r="Z73" s="840" t="s">
        <v>1631</v>
      </c>
      <c r="AA73" s="847"/>
      <c r="AB73" s="29" t="s">
        <v>40</v>
      </c>
      <c r="AC73" s="29" t="s">
        <v>40</v>
      </c>
      <c r="AD73" s="29" t="s">
        <v>134</v>
      </c>
      <c r="AE73" t="s">
        <v>1639</v>
      </c>
      <c r="AF73" s="29" t="s">
        <v>46</v>
      </c>
    </row>
    <row r="74" spans="1:32" ht="24.6" customHeight="1">
      <c r="A74" s="31" t="s">
        <v>62</v>
      </c>
      <c r="B74" s="110" t="s">
        <v>62</v>
      </c>
      <c r="C74" s="108" t="s">
        <v>62</v>
      </c>
      <c r="D74" s="108"/>
      <c r="F74" s="109" t="s">
        <v>62</v>
      </c>
      <c r="G74" s="102" t="s">
        <v>62</v>
      </c>
      <c r="H74" s="58" t="s">
        <v>62</v>
      </c>
      <c r="I74" s="612"/>
      <c r="J74" s="840" t="s">
        <v>41</v>
      </c>
      <c r="K74" s="694" t="s">
        <v>1654</v>
      </c>
      <c r="L74" s="856" t="s">
        <v>628</v>
      </c>
      <c r="M74" s="841" t="s">
        <v>1408</v>
      </c>
      <c r="N74" s="841" t="s">
        <v>62</v>
      </c>
      <c r="O74" s="857" t="s">
        <v>46</v>
      </c>
      <c r="P74" s="844" t="s">
        <v>40</v>
      </c>
      <c r="Q74" s="691" t="s">
        <v>1629</v>
      </c>
      <c r="R74" s="841" t="s">
        <v>613</v>
      </c>
      <c r="S74" s="854">
        <v>28</v>
      </c>
      <c r="T74" s="853">
        <v>500</v>
      </c>
      <c r="U74" s="853">
        <v>16</v>
      </c>
      <c r="V74" s="855"/>
      <c r="W74" s="846" t="s">
        <v>50</v>
      </c>
      <c r="X74" s="580" t="s">
        <v>680</v>
      </c>
      <c r="Y74" s="840" t="s">
        <v>52</v>
      </c>
      <c r="Z74" s="840" t="s">
        <v>52</v>
      </c>
      <c r="AA74" s="847"/>
      <c r="AB74" s="29" t="s">
        <v>40</v>
      </c>
      <c r="AC74" s="29" t="s">
        <v>40</v>
      </c>
      <c r="AD74" s="29" t="s">
        <v>134</v>
      </c>
      <c r="AE74" t="s">
        <v>1639</v>
      </c>
      <c r="AF74" s="29" t="s">
        <v>46</v>
      </c>
    </row>
    <row r="75" spans="1:32" s="64" customFormat="1" ht="24.75" customHeight="1">
      <c r="A75"/>
      <c r="B75"/>
      <c r="C75" s="108"/>
      <c r="D75" s="108"/>
      <c r="E75"/>
      <c r="F75" s="109"/>
      <c r="G75"/>
      <c r="H75"/>
      <c r="I75" s="612"/>
      <c r="J75" s="38" t="s">
        <v>41</v>
      </c>
      <c r="K75" s="99" t="s">
        <v>1655</v>
      </c>
      <c r="L75" s="200" t="s">
        <v>1337</v>
      </c>
      <c r="M75" s="99" t="s">
        <v>1338</v>
      </c>
      <c r="N75" s="99"/>
      <c r="O75" s="706" t="s">
        <v>40</v>
      </c>
      <c r="P75" s="652" t="s">
        <v>46</v>
      </c>
      <c r="Q75" s="237" t="s">
        <v>1148</v>
      </c>
      <c r="R75" s="100" t="s">
        <v>1040</v>
      </c>
      <c r="S75" s="99">
        <v>12</v>
      </c>
      <c r="T75" s="99">
        <v>200</v>
      </c>
      <c r="U75" s="99">
        <v>6</v>
      </c>
      <c r="V75" s="102" t="s">
        <v>50</v>
      </c>
      <c r="W75" s="221" t="s">
        <v>50</v>
      </c>
      <c r="X75" s="38" t="s">
        <v>51</v>
      </c>
      <c r="Y75" s="103" t="s">
        <v>52</v>
      </c>
      <c r="Z75" s="103" t="s">
        <v>52</v>
      </c>
      <c r="AA75" s="147"/>
      <c r="AB75" s="98"/>
      <c r="AC75" s="54" t="s">
        <v>40</v>
      </c>
      <c r="AD75" s="54" t="s">
        <v>134</v>
      </c>
      <c r="AE75" t="s">
        <v>1093</v>
      </c>
      <c r="AF75" s="29" t="s">
        <v>46</v>
      </c>
    </row>
    <row r="76" spans="1:32" s="64" customFormat="1" ht="14.45" customHeight="1">
      <c r="A76"/>
      <c r="B76"/>
      <c r="C76" s="108"/>
      <c r="D76" s="108"/>
      <c r="E76"/>
      <c r="F76" s="109"/>
      <c r="G76"/>
      <c r="H76"/>
      <c r="I76" s="612"/>
      <c r="J76" s="38" t="s">
        <v>41</v>
      </c>
      <c r="K76" s="99" t="s">
        <v>1656</v>
      </c>
      <c r="L76" s="200" t="s">
        <v>1340</v>
      </c>
      <c r="M76" s="112" t="s">
        <v>1341</v>
      </c>
      <c r="N76" s="111"/>
      <c r="O76" s="706" t="s">
        <v>40</v>
      </c>
      <c r="P76" s="652" t="s">
        <v>46</v>
      </c>
      <c r="Q76" s="101" t="s">
        <v>1148</v>
      </c>
      <c r="R76" s="126" t="s">
        <v>1040</v>
      </c>
      <c r="S76" s="126">
        <v>8</v>
      </c>
      <c r="T76" s="126">
        <v>200</v>
      </c>
      <c r="U76" s="126">
        <v>4</v>
      </c>
      <c r="V76" s="211" t="s">
        <v>50</v>
      </c>
      <c r="W76" s="121" t="s">
        <v>65</v>
      </c>
      <c r="X76" s="38" t="s">
        <v>51</v>
      </c>
      <c r="Y76" s="103" t="s">
        <v>52</v>
      </c>
      <c r="Z76" s="103" t="s">
        <v>52</v>
      </c>
      <c r="AA76" s="142"/>
      <c r="AB76" s="97"/>
      <c r="AC76" s="29" t="s">
        <v>40</v>
      </c>
      <c r="AD76" s="29" t="s">
        <v>134</v>
      </c>
      <c r="AE76" t="s">
        <v>1093</v>
      </c>
      <c r="AF76" s="29" t="s">
        <v>46</v>
      </c>
    </row>
    <row r="77" spans="1:32" s="64" customFormat="1" ht="48.75" customHeight="1">
      <c r="A77"/>
      <c r="B77"/>
      <c r="C77" s="108"/>
      <c r="D77" s="108"/>
      <c r="E77"/>
      <c r="F77" s="109"/>
      <c r="G77"/>
      <c r="H77"/>
      <c r="I77" s="612"/>
      <c r="J77" s="38" t="s">
        <v>41</v>
      </c>
      <c r="K77" s="99" t="s">
        <v>1024</v>
      </c>
      <c r="L77" s="200" t="s">
        <v>1025</v>
      </c>
      <c r="M77" s="99" t="s">
        <v>1026</v>
      </c>
      <c r="N77" s="29"/>
      <c r="O77" s="734" t="s">
        <v>46</v>
      </c>
      <c r="P77" s="503" t="s">
        <v>46</v>
      </c>
      <c r="Q77" s="101" t="s">
        <v>1148</v>
      </c>
      <c r="R77" s="99" t="s">
        <v>1027</v>
      </c>
      <c r="S77" s="107">
        <v>32</v>
      </c>
      <c r="T77" s="105">
        <f>120+512</f>
        <v>632</v>
      </c>
      <c r="U77" s="92">
        <v>8</v>
      </c>
      <c r="V77" s="136" t="s">
        <v>50</v>
      </c>
      <c r="W77" s="121" t="s">
        <v>86</v>
      </c>
      <c r="X77" s="38" t="s">
        <v>51</v>
      </c>
      <c r="Y77" s="103" t="s">
        <v>52</v>
      </c>
      <c r="Z77" s="103" t="s">
        <v>52</v>
      </c>
      <c r="AA77" s="142"/>
      <c r="AB77" s="97"/>
      <c r="AC77" s="29" t="s">
        <v>40</v>
      </c>
      <c r="AD77" s="29"/>
      <c r="AE77" t="s">
        <v>1028</v>
      </c>
      <c r="AF77" s="29" t="s">
        <v>46</v>
      </c>
    </row>
    <row r="78" spans="1:32" s="64" customFormat="1" ht="14.45" customHeight="1">
      <c r="A78"/>
      <c r="B78"/>
      <c r="C78"/>
      <c r="D78"/>
      <c r="E78"/>
      <c r="F78"/>
      <c r="G78"/>
      <c r="H78"/>
      <c r="I78" s="612"/>
      <c r="J78" s="38" t="s">
        <v>41</v>
      </c>
      <c r="K78" s="99" t="s">
        <v>1029</v>
      </c>
      <c r="L78" s="200" t="s">
        <v>1030</v>
      </c>
      <c r="M78" s="99" t="s">
        <v>1031</v>
      </c>
      <c r="N78" s="99"/>
      <c r="O78" s="683" t="s">
        <v>46</v>
      </c>
      <c r="P78" s="669" t="s">
        <v>40</v>
      </c>
      <c r="Q78" s="199" t="s">
        <v>1032</v>
      </c>
      <c r="R78" s="112" t="s">
        <v>1033</v>
      </c>
      <c r="S78" s="107">
        <v>4</v>
      </c>
      <c r="T78" s="105">
        <v>100</v>
      </c>
      <c r="U78" s="105">
        <v>2</v>
      </c>
      <c r="V78" s="480" t="s">
        <v>50</v>
      </c>
      <c r="W78" s="124" t="s">
        <v>65</v>
      </c>
      <c r="X78" s="38" t="s">
        <v>51</v>
      </c>
      <c r="Y78" s="103" t="s">
        <v>52</v>
      </c>
      <c r="Z78" s="103" t="s">
        <v>52</v>
      </c>
      <c r="AA78" s="144"/>
      <c r="AB78" s="29"/>
      <c r="AC78" s="29" t="s">
        <v>40</v>
      </c>
      <c r="AD78" s="29" t="s">
        <v>134</v>
      </c>
      <c r="AE78" t="s">
        <v>1034</v>
      </c>
      <c r="AF78" s="29" t="s">
        <v>46</v>
      </c>
    </row>
    <row r="79" spans="1:32" s="64" customFormat="1" ht="36.6" customHeight="1">
      <c r="A79"/>
      <c r="B79"/>
      <c r="C79" s="108"/>
      <c r="D79" s="108"/>
      <c r="E79"/>
      <c r="F79" s="109"/>
      <c r="G79"/>
      <c r="H79"/>
      <c r="I79" s="612"/>
      <c r="J79" s="38" t="s">
        <v>41</v>
      </c>
      <c r="K79" s="125" t="s">
        <v>1035</v>
      </c>
      <c r="L79" s="200" t="s">
        <v>1036</v>
      </c>
      <c r="M79" s="99" t="s">
        <v>1037</v>
      </c>
      <c r="N79" s="99" t="s">
        <v>1038</v>
      </c>
      <c r="O79" s="706" t="s">
        <v>40</v>
      </c>
      <c r="P79" s="652" t="s">
        <v>46</v>
      </c>
      <c r="Q79" s="100" t="s">
        <v>1039</v>
      </c>
      <c r="R79" s="100" t="s">
        <v>1040</v>
      </c>
      <c r="S79" s="100">
        <v>6</v>
      </c>
      <c r="T79" s="100">
        <v>200</v>
      </c>
      <c r="U79" s="101">
        <v>6</v>
      </c>
      <c r="V79" s="237" t="s">
        <v>50</v>
      </c>
      <c r="W79" s="605" t="s">
        <v>86</v>
      </c>
      <c r="X79" s="38" t="s">
        <v>51</v>
      </c>
      <c r="Y79" s="103" t="s">
        <v>52</v>
      </c>
      <c r="Z79" s="103" t="s">
        <v>52</v>
      </c>
      <c r="AA79" s="144"/>
      <c r="AB79" s="29"/>
      <c r="AC79" s="29" t="s">
        <v>40</v>
      </c>
      <c r="AD79" s="29" t="s">
        <v>134</v>
      </c>
      <c r="AE79" t="s">
        <v>1034</v>
      </c>
      <c r="AF79" s="29" t="s">
        <v>46</v>
      </c>
    </row>
    <row r="80" spans="1:32" ht="25.5" customHeight="1">
      <c r="C80" s="108"/>
      <c r="D80" s="108"/>
      <c r="F80" s="109"/>
      <c r="I80" s="612"/>
      <c r="J80" s="38" t="s">
        <v>41</v>
      </c>
      <c r="K80" s="99" t="s">
        <v>1041</v>
      </c>
      <c r="L80" s="200" t="s">
        <v>1042</v>
      </c>
      <c r="M80" s="99" t="s">
        <v>1043</v>
      </c>
      <c r="N80" s="99" t="s">
        <v>1044</v>
      </c>
      <c r="O80" s="706" t="s">
        <v>40</v>
      </c>
      <c r="P80" s="652" t="s">
        <v>46</v>
      </c>
      <c r="Q80" s="92" t="s">
        <v>396</v>
      </c>
      <c r="R80" s="92" t="s">
        <v>1040</v>
      </c>
      <c r="S80" s="92">
        <v>6</v>
      </c>
      <c r="T80" s="92">
        <v>200</v>
      </c>
      <c r="U80" s="92">
        <v>4</v>
      </c>
      <c r="V80" s="136" t="s">
        <v>50</v>
      </c>
      <c r="W80" s="123" t="s">
        <v>50</v>
      </c>
      <c r="X80" s="38" t="s">
        <v>51</v>
      </c>
      <c r="Y80" s="103" t="s">
        <v>52</v>
      </c>
      <c r="Z80" s="103" t="s">
        <v>52</v>
      </c>
      <c r="AC80" s="29" t="s">
        <v>40</v>
      </c>
      <c r="AD80" s="29" t="s">
        <v>134</v>
      </c>
      <c r="AE80" t="s">
        <v>1034</v>
      </c>
      <c r="AF80" s="29" t="s">
        <v>46</v>
      </c>
    </row>
    <row r="81" spans="1:32" ht="48.6" customHeight="1">
      <c r="I81" s="612"/>
      <c r="J81" s="38" t="s">
        <v>41</v>
      </c>
      <c r="K81" s="680" t="s">
        <v>1045</v>
      </c>
      <c r="L81" s="99" t="s">
        <v>1046</v>
      </c>
      <c r="M81" s="101" t="s">
        <v>1047</v>
      </c>
      <c r="N81" s="126"/>
      <c r="O81" s="652" t="s">
        <v>40</v>
      </c>
      <c r="P81" s="652" t="s">
        <v>46</v>
      </c>
      <c r="Q81" s="92" t="s">
        <v>876</v>
      </c>
      <c r="R81" s="92" t="s">
        <v>1048</v>
      </c>
      <c r="S81" s="92">
        <v>16</v>
      </c>
      <c r="T81" s="92">
        <v>500</v>
      </c>
      <c r="U81" s="92">
        <v>6</v>
      </c>
      <c r="V81" s="136" t="s">
        <v>50</v>
      </c>
      <c r="W81" s="123" t="s">
        <v>50</v>
      </c>
      <c r="X81" s="38" t="s">
        <v>51</v>
      </c>
      <c r="Y81" s="103" t="s">
        <v>52</v>
      </c>
      <c r="Z81" s="103" t="s">
        <v>52</v>
      </c>
      <c r="AC81" s="29" t="s">
        <v>40</v>
      </c>
      <c r="AD81" s="29" t="s">
        <v>134</v>
      </c>
      <c r="AE81" t="s">
        <v>1034</v>
      </c>
      <c r="AF81" s="32"/>
    </row>
    <row r="82" spans="1:32" s="93" customFormat="1" ht="51.75" customHeight="1">
      <c r="A82" s="109"/>
      <c r="B82" s="109"/>
      <c r="C82" s="109"/>
      <c r="D82" s="109"/>
      <c r="E82" s="109"/>
      <c r="F82" s="109"/>
      <c r="G82" s="109"/>
      <c r="H82" s="109"/>
      <c r="I82" s="612"/>
      <c r="J82" s="38" t="s">
        <v>41</v>
      </c>
      <c r="K82" s="125" t="s">
        <v>1049</v>
      </c>
      <c r="L82" s="125" t="s">
        <v>1050</v>
      </c>
      <c r="M82" s="298" t="s">
        <v>1051</v>
      </c>
      <c r="N82" s="125"/>
      <c r="O82" s="652" t="s">
        <v>40</v>
      </c>
      <c r="P82" s="652" t="s">
        <v>46</v>
      </c>
      <c r="Q82" s="125" t="s">
        <v>239</v>
      </c>
      <c r="R82" s="125" t="s">
        <v>1040</v>
      </c>
      <c r="S82" s="125">
        <v>8</v>
      </c>
      <c r="T82" s="389" t="s">
        <v>1052</v>
      </c>
      <c r="U82" s="117">
        <v>6</v>
      </c>
      <c r="V82" s="136" t="s">
        <v>50</v>
      </c>
      <c r="W82" s="158" t="s">
        <v>50</v>
      </c>
      <c r="X82" s="38" t="s">
        <v>51</v>
      </c>
      <c r="Y82" s="103" t="s">
        <v>52</v>
      </c>
      <c r="Z82" s="103" t="s">
        <v>52</v>
      </c>
      <c r="AA82" s="144"/>
      <c r="AB82" s="29"/>
      <c r="AC82" s="119" t="s">
        <v>40</v>
      </c>
      <c r="AD82" s="119" t="s">
        <v>134</v>
      </c>
      <c r="AE82" s="119" t="s">
        <v>1034</v>
      </c>
      <c r="AF82" s="119" t="s">
        <v>46</v>
      </c>
    </row>
    <row r="83" spans="1:32" s="93" customFormat="1" ht="27" customHeight="1">
      <c r="A83" s="109"/>
      <c r="B83" s="109"/>
      <c r="C83" s="109"/>
      <c r="D83" s="109"/>
      <c r="E83" s="109"/>
      <c r="F83" s="109"/>
      <c r="G83" s="109"/>
      <c r="H83" s="109"/>
      <c r="I83" s="612"/>
      <c r="J83" s="38" t="s">
        <v>41</v>
      </c>
      <c r="K83" s="125" t="s">
        <v>1053</v>
      </c>
      <c r="L83" s="125" t="s">
        <v>1054</v>
      </c>
      <c r="M83" s="298" t="s">
        <v>1055</v>
      </c>
      <c r="N83" s="125"/>
      <c r="O83" s="652" t="s">
        <v>40</v>
      </c>
      <c r="P83" s="652" t="s">
        <v>46</v>
      </c>
      <c r="Q83" s="125" t="s">
        <v>239</v>
      </c>
      <c r="R83" s="125" t="s">
        <v>1040</v>
      </c>
      <c r="S83" s="125">
        <v>24</v>
      </c>
      <c r="T83" s="389" t="s">
        <v>1056</v>
      </c>
      <c r="U83" s="117">
        <v>6</v>
      </c>
      <c r="V83" s="136" t="s">
        <v>50</v>
      </c>
      <c r="W83" s="158" t="s">
        <v>50</v>
      </c>
      <c r="X83" s="38" t="s">
        <v>51</v>
      </c>
      <c r="Y83" s="38" t="s">
        <v>181</v>
      </c>
      <c r="Z83" s="38" t="s">
        <v>1057</v>
      </c>
      <c r="AA83" s="144"/>
      <c r="AB83" s="29"/>
      <c r="AC83" s="119" t="s">
        <v>40</v>
      </c>
      <c r="AD83" s="119" t="s">
        <v>134</v>
      </c>
      <c r="AE83" t="s">
        <v>1034</v>
      </c>
      <c r="AF83" s="119" t="s">
        <v>46</v>
      </c>
    </row>
    <row r="84" spans="1:32" s="64" customFormat="1" ht="24" customHeight="1">
      <c r="A84"/>
      <c r="B84"/>
      <c r="C84"/>
      <c r="D84"/>
      <c r="E84"/>
      <c r="F84"/>
      <c r="G84"/>
      <c r="H84"/>
      <c r="I84" s="612"/>
      <c r="J84" s="38" t="s">
        <v>41</v>
      </c>
      <c r="K84" s="99" t="s">
        <v>1058</v>
      </c>
      <c r="L84" s="99" t="s">
        <v>1059</v>
      </c>
      <c r="M84" s="131" t="s">
        <v>1060</v>
      </c>
      <c r="N84" s="99"/>
      <c r="O84" s="652" t="s">
        <v>40</v>
      </c>
      <c r="P84" s="652" t="s">
        <v>46</v>
      </c>
      <c r="Q84" s="125" t="s">
        <v>239</v>
      </c>
      <c r="R84" s="99" t="s">
        <v>1040</v>
      </c>
      <c r="S84" s="99">
        <v>8</v>
      </c>
      <c r="T84" s="99">
        <v>200</v>
      </c>
      <c r="U84" s="59">
        <v>4</v>
      </c>
      <c r="V84" s="136" t="s">
        <v>50</v>
      </c>
      <c r="W84" s="120" t="s">
        <v>50</v>
      </c>
      <c r="X84" s="38" t="s">
        <v>51</v>
      </c>
      <c r="Y84" s="103" t="s">
        <v>52</v>
      </c>
      <c r="Z84" s="103" t="s">
        <v>52</v>
      </c>
      <c r="AA84" s="144"/>
      <c r="AB84" s="29"/>
      <c r="AC84" s="29" t="s">
        <v>40</v>
      </c>
      <c r="AD84" s="29" t="s">
        <v>134</v>
      </c>
      <c r="AE84" t="s">
        <v>1034</v>
      </c>
      <c r="AF84" s="29" t="s">
        <v>46</v>
      </c>
    </row>
    <row r="85" spans="1:32" s="64" customFormat="1" ht="15" customHeight="1">
      <c r="A85"/>
      <c r="B85"/>
      <c r="C85"/>
      <c r="D85"/>
      <c r="E85"/>
      <c r="F85"/>
      <c r="G85"/>
      <c r="H85"/>
      <c r="I85" s="612"/>
      <c r="J85" s="38" t="s">
        <v>41</v>
      </c>
      <c r="K85" s="99" t="s">
        <v>1068</v>
      </c>
      <c r="L85" s="99" t="s">
        <v>1069</v>
      </c>
      <c r="M85" s="132" t="s">
        <v>1070</v>
      </c>
      <c r="N85" s="99" t="s">
        <v>1071</v>
      </c>
      <c r="O85" s="644" t="s">
        <v>46</v>
      </c>
      <c r="P85" s="644" t="s">
        <v>46</v>
      </c>
      <c r="Q85" s="99" t="s">
        <v>1072</v>
      </c>
      <c r="R85" s="99" t="s">
        <v>1073</v>
      </c>
      <c r="S85" s="112">
        <v>4</v>
      </c>
      <c r="T85" s="112">
        <v>50</v>
      </c>
      <c r="U85" s="107">
        <v>2</v>
      </c>
      <c r="V85" s="812" t="s">
        <v>50</v>
      </c>
      <c r="W85" s="120" t="s">
        <v>86</v>
      </c>
      <c r="X85" s="38" t="s">
        <v>51</v>
      </c>
      <c r="Y85" s="103" t="s">
        <v>52</v>
      </c>
      <c r="Z85" s="103" t="s">
        <v>52</v>
      </c>
      <c r="AA85" s="142"/>
      <c r="AB85" s="97"/>
      <c r="AC85" s="111" t="s">
        <v>40</v>
      </c>
      <c r="AD85" s="111" t="s">
        <v>134</v>
      </c>
      <c r="AE85" t="s">
        <v>1074</v>
      </c>
      <c r="AF85" s="217" t="s">
        <v>46</v>
      </c>
    </row>
    <row r="86" spans="1:32" ht="30.75" customHeight="1">
      <c r="I86" s="612"/>
      <c r="J86" s="38" t="s">
        <v>41</v>
      </c>
      <c r="K86" s="1336" t="s">
        <v>1076</v>
      </c>
      <c r="L86" s="1336" t="s">
        <v>1077</v>
      </c>
      <c r="M86" s="131" t="s">
        <v>1078</v>
      </c>
      <c r="N86" s="131"/>
      <c r="O86" s="669" t="s">
        <v>46</v>
      </c>
      <c r="P86" s="669" t="s">
        <v>40</v>
      </c>
      <c r="Q86" s="59" t="s">
        <v>1657</v>
      </c>
      <c r="R86" s="136" t="s">
        <v>1080</v>
      </c>
      <c r="S86" s="99">
        <v>8</v>
      </c>
      <c r="T86" s="99">
        <f>100+300</f>
        <v>400</v>
      </c>
      <c r="U86" s="99">
        <v>2</v>
      </c>
      <c r="V86" s="102"/>
      <c r="W86" s="123" t="s">
        <v>50</v>
      </c>
      <c r="X86" s="38" t="s">
        <v>51</v>
      </c>
      <c r="Y86" s="38" t="s">
        <v>229</v>
      </c>
      <c r="Z86" s="38" t="s">
        <v>1081</v>
      </c>
      <c r="AA86" s="142"/>
      <c r="AB86" s="97"/>
      <c r="AC86" s="111"/>
      <c r="AD86" s="111" t="s">
        <v>134</v>
      </c>
      <c r="AE86" t="s">
        <v>1074</v>
      </c>
      <c r="AF86" s="217"/>
    </row>
    <row r="87" spans="1:32" ht="15" customHeight="1">
      <c r="I87" s="612"/>
      <c r="J87" s="38" t="s">
        <v>41</v>
      </c>
      <c r="K87" s="1336" t="s">
        <v>1082</v>
      </c>
      <c r="L87" s="1336" t="s">
        <v>1083</v>
      </c>
      <c r="M87" s="131" t="s">
        <v>1658</v>
      </c>
      <c r="N87" s="131"/>
      <c r="O87" s="669" t="s">
        <v>46</v>
      </c>
      <c r="P87" s="669" t="s">
        <v>40</v>
      </c>
      <c r="Q87" s="59" t="s">
        <v>1657</v>
      </c>
      <c r="R87" s="136" t="s">
        <v>1080</v>
      </c>
      <c r="S87" s="99">
        <v>4</v>
      </c>
      <c r="T87" s="99">
        <f>100+300</f>
        <v>400</v>
      </c>
      <c r="U87" s="99">
        <v>2</v>
      </c>
      <c r="V87" s="102"/>
      <c r="W87" s="123" t="s">
        <v>50</v>
      </c>
      <c r="X87" s="38" t="s">
        <v>51</v>
      </c>
      <c r="Y87" s="38" t="s">
        <v>229</v>
      </c>
      <c r="Z87" s="38" t="s">
        <v>1081</v>
      </c>
      <c r="AA87" s="142"/>
      <c r="AB87" s="97"/>
      <c r="AC87" s="111"/>
      <c r="AD87" s="111" t="s">
        <v>134</v>
      </c>
      <c r="AE87" t="s">
        <v>1074</v>
      </c>
      <c r="AF87" s="217"/>
    </row>
    <row r="88" spans="1:32" ht="15" customHeight="1">
      <c r="H88" s="257"/>
      <c r="I88" s="612"/>
      <c r="J88" s="38" t="s">
        <v>41</v>
      </c>
      <c r="K88" s="99" t="s">
        <v>1085</v>
      </c>
      <c r="L88" s="99" t="s">
        <v>1086</v>
      </c>
      <c r="M88" s="131" t="s">
        <v>1087</v>
      </c>
      <c r="N88" s="99"/>
      <c r="O88" s="669" t="s">
        <v>46</v>
      </c>
      <c r="P88" s="669" t="s">
        <v>40</v>
      </c>
      <c r="Q88" s="99" t="s">
        <v>1032</v>
      </c>
      <c r="R88" s="212" t="s">
        <v>1080</v>
      </c>
      <c r="S88" s="99">
        <v>8</v>
      </c>
      <c r="T88" s="99">
        <v>250</v>
      </c>
      <c r="U88" s="99">
        <v>4</v>
      </c>
      <c r="V88" s="99" t="s">
        <v>50</v>
      </c>
      <c r="W88" s="103" t="s">
        <v>86</v>
      </c>
      <c r="X88" s="38" t="s">
        <v>51</v>
      </c>
      <c r="Y88" s="38"/>
      <c r="Z88" s="38"/>
      <c r="AA88" s="110"/>
      <c r="AB88" s="110"/>
      <c r="AC88" s="111"/>
      <c r="AD88" s="111" t="s">
        <v>134</v>
      </c>
      <c r="AE88" t="s">
        <v>1074</v>
      </c>
      <c r="AF88" s="217"/>
    </row>
    <row r="89" spans="1:32" s="109" customFormat="1" ht="27" customHeight="1">
      <c r="H89" s="198"/>
      <c r="I89" s="612"/>
      <c r="J89" s="38" t="s">
        <v>41</v>
      </c>
      <c r="K89" s="125" t="s">
        <v>1088</v>
      </c>
      <c r="L89" s="125" t="s">
        <v>1089</v>
      </c>
      <c r="M89" s="225" t="s">
        <v>1090</v>
      </c>
      <c r="N89" s="258" t="s">
        <v>1091</v>
      </c>
      <c r="O89" s="669" t="s">
        <v>46</v>
      </c>
      <c r="P89" s="669" t="s">
        <v>40</v>
      </c>
      <c r="Q89" s="225" t="s">
        <v>1092</v>
      </c>
      <c r="R89" s="226" t="s">
        <v>769</v>
      </c>
      <c r="S89" s="259">
        <v>16</v>
      </c>
      <c r="T89" s="260">
        <v>350</v>
      </c>
      <c r="U89" s="261">
        <v>2</v>
      </c>
      <c r="V89" s="813" t="s">
        <v>50</v>
      </c>
      <c r="W89" s="262" t="s">
        <v>86</v>
      </c>
      <c r="X89" s="38" t="s">
        <v>51</v>
      </c>
      <c r="Y89" s="38" t="s">
        <v>52</v>
      </c>
      <c r="Z89" s="133" t="s">
        <v>52</v>
      </c>
      <c r="AA89" s="125"/>
      <c r="AB89" s="119"/>
      <c r="AC89" s="567" t="s">
        <v>40</v>
      </c>
      <c r="AD89" s="119" t="s">
        <v>134</v>
      </c>
      <c r="AE89" t="s">
        <v>1093</v>
      </c>
      <c r="AF89" s="218" t="s">
        <v>1659</v>
      </c>
    </row>
    <row r="90" spans="1:32" s="109" customFormat="1" ht="24.6" customHeight="1">
      <c r="H90" s="606"/>
      <c r="I90" s="612"/>
      <c r="J90" s="38" t="s">
        <v>41</v>
      </c>
      <c r="K90" s="571" t="s">
        <v>1113</v>
      </c>
      <c r="L90" s="125" t="s">
        <v>1114</v>
      </c>
      <c r="M90" s="117" t="s">
        <v>1115</v>
      </c>
      <c r="N90" s="125"/>
      <c r="O90" s="669" t="s">
        <v>46</v>
      </c>
      <c r="P90" s="669" t="s">
        <v>40</v>
      </c>
      <c r="Q90" s="117" t="s">
        <v>1657</v>
      </c>
      <c r="R90" s="435" t="s">
        <v>1080</v>
      </c>
      <c r="S90" s="125">
        <v>8</v>
      </c>
      <c r="T90" s="389" t="s">
        <v>1116</v>
      </c>
      <c r="U90" s="117">
        <v>4</v>
      </c>
      <c r="V90" s="630" t="s">
        <v>65</v>
      </c>
      <c r="W90" s="436" t="s">
        <v>50</v>
      </c>
      <c r="X90" s="38" t="s">
        <v>200</v>
      </c>
      <c r="Y90" s="38" t="s">
        <v>229</v>
      </c>
      <c r="Z90" s="133" t="s">
        <v>1081</v>
      </c>
      <c r="AA90" s="125"/>
      <c r="AB90" s="119"/>
      <c r="AC90" s="567" t="s">
        <v>40</v>
      </c>
      <c r="AD90" s="567" t="s">
        <v>134</v>
      </c>
      <c r="AE90" t="s">
        <v>1117</v>
      </c>
      <c r="AF90" s="607" t="s">
        <v>46</v>
      </c>
    </row>
    <row r="91" spans="1:32" s="109" customFormat="1" ht="24.6" customHeight="1">
      <c r="H91" s="606"/>
      <c r="I91" s="612"/>
      <c r="J91" s="38" t="s">
        <v>41</v>
      </c>
      <c r="K91" s="571" t="s">
        <v>1118</v>
      </c>
      <c r="L91" s="125" t="s">
        <v>1119</v>
      </c>
      <c r="M91" s="117" t="s">
        <v>1120</v>
      </c>
      <c r="N91" s="125"/>
      <c r="O91" s="669" t="s">
        <v>46</v>
      </c>
      <c r="P91" s="669" t="s">
        <v>40</v>
      </c>
      <c r="Q91" s="117" t="s">
        <v>1657</v>
      </c>
      <c r="R91" s="435" t="s">
        <v>1080</v>
      </c>
      <c r="S91" s="125">
        <v>12</v>
      </c>
      <c r="T91" s="389" t="s">
        <v>1116</v>
      </c>
      <c r="U91" s="117">
        <v>16</v>
      </c>
      <c r="V91" s="630" t="s">
        <v>50</v>
      </c>
      <c r="W91" s="436" t="s">
        <v>50</v>
      </c>
      <c r="X91" s="38" t="s">
        <v>51</v>
      </c>
      <c r="Y91" s="38" t="s">
        <v>229</v>
      </c>
      <c r="Z91" s="133" t="s">
        <v>1081</v>
      </c>
      <c r="AA91" s="125"/>
      <c r="AB91" s="119"/>
      <c r="AC91" s="567" t="s">
        <v>40</v>
      </c>
      <c r="AD91" s="567" t="s">
        <v>134</v>
      </c>
      <c r="AE91" t="s">
        <v>1117</v>
      </c>
      <c r="AF91" s="607" t="s">
        <v>46</v>
      </c>
    </row>
    <row r="92" spans="1:32" s="109" customFormat="1" ht="42.75" customHeight="1">
      <c r="H92" s="606"/>
      <c r="I92" s="612"/>
      <c r="J92" s="38" t="s">
        <v>41</v>
      </c>
      <c r="K92" s="571" t="s">
        <v>1121</v>
      </c>
      <c r="L92" s="125" t="s">
        <v>1119</v>
      </c>
      <c r="M92" s="117" t="s">
        <v>1122</v>
      </c>
      <c r="N92" s="125"/>
      <c r="O92" s="669" t="s">
        <v>46</v>
      </c>
      <c r="P92" s="669" t="s">
        <v>40</v>
      </c>
      <c r="Q92" s="117" t="s">
        <v>1657</v>
      </c>
      <c r="R92" s="435" t="s">
        <v>1080</v>
      </c>
      <c r="S92" s="125">
        <v>8</v>
      </c>
      <c r="T92" s="389" t="s">
        <v>1116</v>
      </c>
      <c r="U92" s="117">
        <v>4</v>
      </c>
      <c r="V92" s="630" t="s">
        <v>50</v>
      </c>
      <c r="W92" s="436" t="s">
        <v>50</v>
      </c>
      <c r="X92" s="38" t="s">
        <v>51</v>
      </c>
      <c r="Y92" s="38" t="s">
        <v>229</v>
      </c>
      <c r="Z92" s="133" t="s">
        <v>1081</v>
      </c>
      <c r="AA92" s="125"/>
      <c r="AB92" s="119"/>
      <c r="AC92" s="567" t="s">
        <v>40</v>
      </c>
      <c r="AD92" s="567" t="s">
        <v>134</v>
      </c>
      <c r="AE92" t="s">
        <v>1117</v>
      </c>
      <c r="AF92" s="607" t="s">
        <v>46</v>
      </c>
    </row>
    <row r="93" spans="1:32" ht="26.25" customHeight="1">
      <c r="I93" s="612"/>
      <c r="J93" s="38" t="s">
        <v>41</v>
      </c>
      <c r="K93" s="118" t="s">
        <v>1123</v>
      </c>
      <c r="L93" s="99" t="s">
        <v>1124</v>
      </c>
      <c r="M93" s="107" t="s">
        <v>1125</v>
      </c>
      <c r="N93" s="105" t="s">
        <v>1126</v>
      </c>
      <c r="O93" s="652" t="s">
        <v>40</v>
      </c>
      <c r="P93" s="652" t="s">
        <v>46</v>
      </c>
      <c r="Q93" s="105" t="s">
        <v>1660</v>
      </c>
      <c r="R93" s="105" t="s">
        <v>1040</v>
      </c>
      <c r="S93" s="220">
        <v>12</v>
      </c>
      <c r="T93" s="256" t="s">
        <v>1056</v>
      </c>
      <c r="U93" s="105">
        <v>4</v>
      </c>
      <c r="V93" s="480" t="s">
        <v>50</v>
      </c>
      <c r="W93" s="201" t="s">
        <v>50</v>
      </c>
      <c r="X93" s="38" t="s">
        <v>51</v>
      </c>
      <c r="Y93" s="38" t="s">
        <v>181</v>
      </c>
      <c r="Z93" s="38" t="s">
        <v>1057</v>
      </c>
      <c r="AA93" s="147"/>
      <c r="AB93" s="98"/>
      <c r="AC93" s="54" t="s">
        <v>40</v>
      </c>
      <c r="AD93" s="54" t="s">
        <v>134</v>
      </c>
      <c r="AE93" t="s">
        <v>997</v>
      </c>
      <c r="AF93" s="32" t="s">
        <v>46</v>
      </c>
    </row>
    <row r="94" spans="1:32" ht="34.5" customHeight="1">
      <c r="I94" s="612"/>
      <c r="J94" s="38" t="s">
        <v>41</v>
      </c>
      <c r="K94" s="118" t="s">
        <v>1128</v>
      </c>
      <c r="L94" s="99" t="s">
        <v>1129</v>
      </c>
      <c r="M94" s="131" t="s">
        <v>1130</v>
      </c>
      <c r="N94" s="99"/>
      <c r="O94" s="652" t="s">
        <v>40</v>
      </c>
      <c r="P94" s="652" t="s">
        <v>46</v>
      </c>
      <c r="Q94" s="105" t="s">
        <v>1660</v>
      </c>
      <c r="R94" s="99" t="s">
        <v>1040</v>
      </c>
      <c r="S94" s="112">
        <v>10</v>
      </c>
      <c r="T94" s="265" t="s">
        <v>1056</v>
      </c>
      <c r="U94" s="112">
        <v>4</v>
      </c>
      <c r="V94" s="480" t="s">
        <v>50</v>
      </c>
      <c r="W94" s="103" t="s">
        <v>50</v>
      </c>
      <c r="X94" s="38" t="s">
        <v>51</v>
      </c>
      <c r="Y94" s="38" t="s">
        <v>181</v>
      </c>
      <c r="Z94" s="38" t="s">
        <v>1131</v>
      </c>
      <c r="AA94" s="142"/>
      <c r="AB94" s="97"/>
      <c r="AC94" s="29" t="s">
        <v>40</v>
      </c>
      <c r="AD94" s="29" t="s">
        <v>134</v>
      </c>
      <c r="AE94" t="s">
        <v>1132</v>
      </c>
      <c r="AF94" s="32" t="s">
        <v>46</v>
      </c>
    </row>
    <row r="95" spans="1:32" ht="15" customHeight="1">
      <c r="C95" s="108"/>
      <c r="D95" s="108"/>
      <c r="F95" s="109"/>
      <c r="I95" s="612"/>
      <c r="J95" s="154" t="s">
        <v>41</v>
      </c>
      <c r="K95" s="682" t="s">
        <v>1133</v>
      </c>
      <c r="L95" s="112" t="s">
        <v>1134</v>
      </c>
      <c r="M95" s="615" t="s">
        <v>1135</v>
      </c>
      <c r="N95" s="199" t="s">
        <v>1136</v>
      </c>
      <c r="O95" s="672" t="s">
        <v>46</v>
      </c>
      <c r="P95" s="669" t="s">
        <v>40</v>
      </c>
      <c r="Q95" s="105" t="s">
        <v>1660</v>
      </c>
      <c r="R95" s="263" t="s">
        <v>163</v>
      </c>
      <c r="S95" s="99">
        <v>8</v>
      </c>
      <c r="T95" s="99">
        <v>250</v>
      </c>
      <c r="U95" s="99">
        <v>4</v>
      </c>
      <c r="V95" s="102" t="s">
        <v>50</v>
      </c>
      <c r="W95" s="264" t="s">
        <v>50</v>
      </c>
      <c r="X95" s="38" t="s">
        <v>51</v>
      </c>
      <c r="Y95" s="38" t="s">
        <v>52</v>
      </c>
      <c r="Z95" s="38" t="s">
        <v>52</v>
      </c>
      <c r="AA95" s="144"/>
      <c r="AB95" s="29"/>
      <c r="AC95" s="29" t="s">
        <v>40</v>
      </c>
      <c r="AD95" s="29" t="s">
        <v>134</v>
      </c>
      <c r="AE95" t="s">
        <v>1132</v>
      </c>
      <c r="AF95" s="32" t="s">
        <v>46</v>
      </c>
    </row>
    <row r="96" spans="1:32" ht="24.75" customHeight="1">
      <c r="I96" s="612"/>
      <c r="J96" s="38" t="s">
        <v>41</v>
      </c>
      <c r="K96" s="759" t="s">
        <v>1137</v>
      </c>
      <c r="L96" s="132" t="s">
        <v>1138</v>
      </c>
      <c r="M96" s="112" t="s">
        <v>1139</v>
      </c>
      <c r="N96" s="99"/>
      <c r="O96" s="669" t="s">
        <v>46</v>
      </c>
      <c r="P96" s="683" t="s">
        <v>40</v>
      </c>
      <c r="Q96" s="99" t="s">
        <v>1661</v>
      </c>
      <c r="R96" s="200" t="s">
        <v>333</v>
      </c>
      <c r="S96" s="99">
        <v>16</v>
      </c>
      <c r="T96" s="104">
        <v>500</v>
      </c>
      <c r="U96" s="99">
        <v>8</v>
      </c>
      <c r="V96" s="131" t="s">
        <v>50</v>
      </c>
      <c r="W96" s="155" t="s">
        <v>50</v>
      </c>
      <c r="X96" s="38" t="s">
        <v>51</v>
      </c>
      <c r="Y96" s="38"/>
      <c r="Z96" s="38"/>
      <c r="AA96" s="142"/>
      <c r="AB96" s="97"/>
      <c r="AC96" s="29" t="s">
        <v>40</v>
      </c>
      <c r="AD96" s="29" t="s">
        <v>134</v>
      </c>
      <c r="AE96" t="s">
        <v>1074</v>
      </c>
      <c r="AF96" s="32" t="s">
        <v>46</v>
      </c>
    </row>
    <row r="97" spans="1:37" s="819" customFormat="1" ht="36" customHeight="1">
      <c r="C97" s="820"/>
      <c r="D97" s="820"/>
      <c r="I97" s="821"/>
      <c r="J97" s="822" t="s">
        <v>41</v>
      </c>
      <c r="K97" s="1332" t="s">
        <v>1141</v>
      </c>
      <c r="L97" s="1332" t="s">
        <v>1142</v>
      </c>
      <c r="M97" s="1332" t="s">
        <v>1143</v>
      </c>
      <c r="N97" s="1333"/>
      <c r="O97" s="1334" t="s">
        <v>46</v>
      </c>
      <c r="P97" s="1335" t="s">
        <v>40</v>
      </c>
      <c r="Q97" s="1336" t="s">
        <v>1144</v>
      </c>
      <c r="R97" s="1337" t="s">
        <v>769</v>
      </c>
      <c r="S97" s="1332">
        <v>12</v>
      </c>
      <c r="T97" s="1338">
        <f>100+150+200</f>
        <v>450</v>
      </c>
      <c r="U97" s="1332">
        <v>4</v>
      </c>
      <c r="V97" s="1339" t="s">
        <v>819</v>
      </c>
      <c r="W97" s="823" t="s">
        <v>819</v>
      </c>
      <c r="X97" s="824" t="s">
        <v>46</v>
      </c>
      <c r="Y97" s="824"/>
      <c r="Z97" s="824"/>
      <c r="AA97" s="825"/>
      <c r="AB97" s="826"/>
      <c r="AC97" s="826" t="s">
        <v>40</v>
      </c>
      <c r="AD97" s="826" t="s">
        <v>134</v>
      </c>
      <c r="AE97" t="s">
        <v>1005</v>
      </c>
      <c r="AF97" s="827" t="s">
        <v>46</v>
      </c>
    </row>
    <row r="98" spans="1:37" s="109" customFormat="1" ht="30.75" customHeight="1">
      <c r="C98" s="108"/>
      <c r="D98" s="108"/>
      <c r="I98" s="612"/>
      <c r="J98" s="157" t="s">
        <v>41</v>
      </c>
      <c r="K98" s="684" t="s">
        <v>1145</v>
      </c>
      <c r="L98" s="390" t="s">
        <v>1146</v>
      </c>
      <c r="M98" s="390" t="s">
        <v>1147</v>
      </c>
      <c r="N98" s="258"/>
      <c r="O98" s="685" t="s">
        <v>46</v>
      </c>
      <c r="P98" s="669" t="s">
        <v>40</v>
      </c>
      <c r="Q98" s="258" t="s">
        <v>1148</v>
      </c>
      <c r="R98" s="565" t="s">
        <v>769</v>
      </c>
      <c r="S98" s="125">
        <v>16</v>
      </c>
      <c r="T98" s="125">
        <v>100</v>
      </c>
      <c r="U98" s="125">
        <v>4</v>
      </c>
      <c r="V98" s="432" t="s">
        <v>50</v>
      </c>
      <c r="W98" s="566" t="s">
        <v>50</v>
      </c>
      <c r="X98" s="38" t="s">
        <v>51</v>
      </c>
      <c r="Y98" s="154" t="s">
        <v>52</v>
      </c>
      <c r="Z98" s="38" t="s">
        <v>52</v>
      </c>
      <c r="AA98" s="567"/>
      <c r="AB98" s="119"/>
      <c r="AC98" s="119" t="s">
        <v>48</v>
      </c>
      <c r="AD98" s="119" t="s">
        <v>134</v>
      </c>
      <c r="AE98" t="s">
        <v>1074</v>
      </c>
      <c r="AF98" s="218" t="s">
        <v>1662</v>
      </c>
    </row>
    <row r="99" spans="1:37" s="109" customFormat="1" ht="64.5" customHeight="1">
      <c r="C99" s="108"/>
      <c r="D99" s="108"/>
      <c r="I99" s="612"/>
      <c r="J99" s="38" t="s">
        <v>41</v>
      </c>
      <c r="K99" s="686" t="s">
        <v>1149</v>
      </c>
      <c r="L99" s="125" t="s">
        <v>1150</v>
      </c>
      <c r="M99" s="565" t="s">
        <v>1151</v>
      </c>
      <c r="N99" s="568" t="s">
        <v>1152</v>
      </c>
      <c r="O99" s="672" t="s">
        <v>46</v>
      </c>
      <c r="P99" s="672" t="s">
        <v>40</v>
      </c>
      <c r="Q99" s="499" t="s">
        <v>1153</v>
      </c>
      <c r="R99" s="125" t="s">
        <v>163</v>
      </c>
      <c r="S99" s="298">
        <v>4</v>
      </c>
      <c r="T99" s="125">
        <v>120</v>
      </c>
      <c r="U99" s="125">
        <v>8</v>
      </c>
      <c r="V99" s="432" t="s">
        <v>50</v>
      </c>
      <c r="W99" s="31" t="s">
        <v>86</v>
      </c>
      <c r="X99" s="38" t="s">
        <v>51</v>
      </c>
      <c r="Y99" s="154"/>
      <c r="Z99" s="44"/>
      <c r="AA99" s="567"/>
      <c r="AB99" s="119"/>
      <c r="AC99" s="119" t="s">
        <v>40</v>
      </c>
      <c r="AD99" s="119" t="s">
        <v>134</v>
      </c>
      <c r="AE99" t="s">
        <v>1074</v>
      </c>
      <c r="AF99" s="218" t="s">
        <v>46</v>
      </c>
    </row>
    <row r="100" spans="1:37" s="109" customFormat="1" ht="27" customHeight="1">
      <c r="C100" s="108"/>
      <c r="D100" s="108"/>
      <c r="I100" s="612"/>
      <c r="J100" s="38" t="s">
        <v>41</v>
      </c>
      <c r="K100" s="106" t="s">
        <v>1154</v>
      </c>
      <c r="L100" s="125" t="s">
        <v>1155</v>
      </c>
      <c r="M100" s="660" t="s">
        <v>1156</v>
      </c>
      <c r="N100" s="297"/>
      <c r="O100" s="653" t="s">
        <v>46</v>
      </c>
      <c r="P100" s="653" t="s">
        <v>46</v>
      </c>
      <c r="Q100" s="597" t="s">
        <v>1148</v>
      </c>
      <c r="R100" s="432" t="s">
        <v>1157</v>
      </c>
      <c r="S100" s="125">
        <v>256</v>
      </c>
      <c r="T100" s="125">
        <f>100+550+2295</f>
        <v>2945</v>
      </c>
      <c r="U100" s="125">
        <v>32</v>
      </c>
      <c r="V100" s="298" t="s">
        <v>50</v>
      </c>
      <c r="W100" s="44" t="s">
        <v>65</v>
      </c>
      <c r="X100" s="38" t="s">
        <v>51</v>
      </c>
      <c r="Y100" s="38" t="s">
        <v>52</v>
      </c>
      <c r="Z100" s="44" t="s">
        <v>52</v>
      </c>
      <c r="AA100" s="567"/>
      <c r="AB100" s="119"/>
      <c r="AC100" s="661" t="s">
        <v>48</v>
      </c>
      <c r="AD100" s="661"/>
      <c r="AE100" t="s">
        <v>1028</v>
      </c>
      <c r="AF100" s="662"/>
    </row>
    <row r="101" spans="1:37" s="93" customFormat="1" ht="27.75" customHeight="1">
      <c r="A101" s="109"/>
      <c r="B101" s="109"/>
      <c r="C101" s="109"/>
      <c r="D101" s="109"/>
      <c r="E101" s="109"/>
      <c r="F101" s="109"/>
      <c r="G101" s="109"/>
      <c r="H101" s="109"/>
      <c r="I101" s="612"/>
      <c r="J101" s="38" t="s">
        <v>41</v>
      </c>
      <c r="K101" s="125" t="s">
        <v>1158</v>
      </c>
      <c r="L101" s="125" t="s">
        <v>1159</v>
      </c>
      <c r="M101" s="390" t="s">
        <v>1160</v>
      </c>
      <c r="N101" s="499"/>
      <c r="O101" s="644" t="s">
        <v>46</v>
      </c>
      <c r="P101" s="644" t="s">
        <v>46</v>
      </c>
      <c r="Q101" s="125" t="s">
        <v>1148</v>
      </c>
      <c r="R101" s="298" t="s">
        <v>1161</v>
      </c>
      <c r="S101" s="390">
        <v>6</v>
      </c>
      <c r="T101" s="258">
        <v>70</v>
      </c>
      <c r="U101" s="225">
        <v>2</v>
      </c>
      <c r="V101" s="814" t="s">
        <v>50</v>
      </c>
      <c r="W101" s="202" t="s">
        <v>65</v>
      </c>
      <c r="X101" s="38" t="s">
        <v>51</v>
      </c>
      <c r="Y101" s="174" t="s">
        <v>52</v>
      </c>
      <c r="Z101" s="38" t="s">
        <v>52</v>
      </c>
      <c r="AA101" s="144"/>
      <c r="AB101" s="29"/>
      <c r="AC101" s="119" t="s">
        <v>40</v>
      </c>
      <c r="AD101" s="119" t="s">
        <v>134</v>
      </c>
      <c r="AE101" t="s">
        <v>1093</v>
      </c>
      <c r="AF101" s="218" t="s">
        <v>46</v>
      </c>
    </row>
    <row r="102" spans="1:37" s="93" customFormat="1" ht="67.5" customHeight="1">
      <c r="A102" s="109"/>
      <c r="B102" s="109"/>
      <c r="C102" s="109"/>
      <c r="D102" s="109"/>
      <c r="E102" s="109"/>
      <c r="F102" s="109"/>
      <c r="G102" s="109"/>
      <c r="H102" s="109"/>
      <c r="I102" s="612"/>
      <c r="J102" s="38" t="s">
        <v>41</v>
      </c>
      <c r="K102" s="125" t="s">
        <v>1162</v>
      </c>
      <c r="L102" s="125" t="s">
        <v>1163</v>
      </c>
      <c r="M102" s="390" t="s">
        <v>1164</v>
      </c>
      <c r="N102" s="499"/>
      <c r="O102" s="669" t="s">
        <v>46</v>
      </c>
      <c r="P102" s="669" t="s">
        <v>40</v>
      </c>
      <c r="Q102" s="125" t="s">
        <v>396</v>
      </c>
      <c r="R102" s="298" t="s">
        <v>1165</v>
      </c>
      <c r="S102" s="390">
        <v>8</v>
      </c>
      <c r="T102" s="258">
        <v>100</v>
      </c>
      <c r="U102" s="225">
        <v>4</v>
      </c>
      <c r="V102" s="814" t="s">
        <v>50</v>
      </c>
      <c r="W102" s="202" t="s">
        <v>50</v>
      </c>
      <c r="X102" s="38" t="s">
        <v>51</v>
      </c>
      <c r="Y102" s="174" t="s">
        <v>52</v>
      </c>
      <c r="Z102" s="38" t="s">
        <v>52</v>
      </c>
      <c r="AA102" s="567"/>
      <c r="AB102" s="119"/>
      <c r="AC102" s="119" t="s">
        <v>40</v>
      </c>
      <c r="AD102" s="119" t="s">
        <v>134</v>
      </c>
      <c r="AE102" t="s">
        <v>1132</v>
      </c>
      <c r="AF102" s="218"/>
    </row>
    <row r="103" spans="1:37" s="93" customFormat="1" ht="27.75" customHeight="1">
      <c r="A103" s="109"/>
      <c r="B103" s="109"/>
      <c r="C103" s="109"/>
      <c r="D103" s="109"/>
      <c r="E103" s="109"/>
      <c r="F103" s="109"/>
      <c r="G103" s="109"/>
      <c r="H103" s="109"/>
      <c r="I103" s="612"/>
      <c r="J103" s="38" t="s">
        <v>41</v>
      </c>
      <c r="K103" s="125" t="s">
        <v>1166</v>
      </c>
      <c r="L103" s="125" t="s">
        <v>1167</v>
      </c>
      <c r="M103" s="390" t="s">
        <v>1168</v>
      </c>
      <c r="N103" s="499"/>
      <c r="O103" s="644" t="s">
        <v>46</v>
      </c>
      <c r="P103" s="644" t="s">
        <v>46</v>
      </c>
      <c r="Q103" s="125" t="s">
        <v>47</v>
      </c>
      <c r="R103" s="298" t="s">
        <v>1169</v>
      </c>
      <c r="S103" s="390">
        <v>16</v>
      </c>
      <c r="T103" s="258">
        <v>500</v>
      </c>
      <c r="U103" s="225">
        <v>4</v>
      </c>
      <c r="V103" s="814" t="s">
        <v>50</v>
      </c>
      <c r="W103" s="202" t="s">
        <v>50</v>
      </c>
      <c r="X103" s="38" t="s">
        <v>51</v>
      </c>
      <c r="Y103" s="174"/>
      <c r="Z103" s="38"/>
      <c r="AA103" s="144"/>
      <c r="AB103" s="29"/>
      <c r="AC103" s="119" t="s">
        <v>40</v>
      </c>
      <c r="AD103" s="119" t="s">
        <v>134</v>
      </c>
      <c r="AE103" t="s">
        <v>1132</v>
      </c>
      <c r="AF103" s="218" t="s">
        <v>46</v>
      </c>
    </row>
    <row r="104" spans="1:37" s="93" customFormat="1" ht="39.75" customHeight="1">
      <c r="A104" s="109"/>
      <c r="B104" s="109"/>
      <c r="C104" s="109"/>
      <c r="D104" s="109"/>
      <c r="E104" s="109"/>
      <c r="F104" s="109"/>
      <c r="G104" s="109"/>
      <c r="H104" s="109"/>
      <c r="I104" s="612"/>
      <c r="J104" s="38" t="s">
        <v>41</v>
      </c>
      <c r="K104" s="571" t="s">
        <v>1170</v>
      </c>
      <c r="L104" s="125" t="s">
        <v>1171</v>
      </c>
      <c r="M104" s="298" t="s">
        <v>1172</v>
      </c>
      <c r="N104" s="297" t="s">
        <v>1173</v>
      </c>
      <c r="O104" s="669" t="s">
        <v>46</v>
      </c>
      <c r="P104" s="669" t="s">
        <v>40</v>
      </c>
      <c r="Q104" s="258" t="s">
        <v>186</v>
      </c>
      <c r="R104" s="258" t="s">
        <v>899</v>
      </c>
      <c r="S104" s="298">
        <v>2</v>
      </c>
      <c r="T104" s="125">
        <v>30</v>
      </c>
      <c r="U104" s="117">
        <v>2</v>
      </c>
      <c r="V104" s="630" t="s">
        <v>50</v>
      </c>
      <c r="W104" s="158" t="s">
        <v>86</v>
      </c>
      <c r="X104" s="38" t="s">
        <v>51</v>
      </c>
      <c r="Y104" s="38" t="s">
        <v>52</v>
      </c>
      <c r="Z104" s="38" t="s">
        <v>52</v>
      </c>
      <c r="AA104" s="567"/>
      <c r="AB104" s="119"/>
      <c r="AC104" s="119" t="s">
        <v>40</v>
      </c>
      <c r="AD104" s="119" t="s">
        <v>134</v>
      </c>
      <c r="AE104" t="s">
        <v>997</v>
      </c>
      <c r="AF104" s="218" t="s">
        <v>46</v>
      </c>
    </row>
    <row r="105" spans="1:37" s="109" customFormat="1" ht="39.75" customHeight="1">
      <c r="A105" s="133"/>
      <c r="B105" s="38"/>
      <c r="C105"/>
      <c r="D105"/>
      <c r="E105"/>
      <c r="F105"/>
      <c r="G105"/>
      <c r="H105"/>
      <c r="I105" s="38"/>
      <c r="J105" s="44" t="s">
        <v>41</v>
      </c>
      <c r="K105" s="571" t="s">
        <v>1178</v>
      </c>
      <c r="L105" s="117" t="s">
        <v>1179</v>
      </c>
      <c r="M105" s="434" t="s">
        <v>1180</v>
      </c>
      <c r="N105" s="434"/>
      <c r="O105" s="669" t="s">
        <v>46</v>
      </c>
      <c r="P105" s="669" t="s">
        <v>40</v>
      </c>
      <c r="Q105" s="434" t="s">
        <v>1182</v>
      </c>
      <c r="R105" s="434" t="s">
        <v>1183</v>
      </c>
      <c r="S105" s="434">
        <v>16</v>
      </c>
      <c r="T105" s="434">
        <v>200</v>
      </c>
      <c r="U105" s="434">
        <v>4</v>
      </c>
      <c r="V105" s="435" t="s">
        <v>1184</v>
      </c>
      <c r="W105" s="436" t="s">
        <v>65</v>
      </c>
      <c r="X105" s="38" t="s">
        <v>200</v>
      </c>
      <c r="Y105" s="103" t="s">
        <v>52</v>
      </c>
      <c r="Z105" s="103" t="s">
        <v>52</v>
      </c>
      <c r="AA105" s="142"/>
      <c r="AB105" s="97"/>
      <c r="AC105" s="29" t="s">
        <v>40</v>
      </c>
      <c r="AD105" s="29" t="s">
        <v>1185</v>
      </c>
      <c r="AE105" t="s">
        <v>1132</v>
      </c>
      <c r="AF105" s="29" t="s">
        <v>46</v>
      </c>
      <c r="AG105"/>
      <c r="AH105"/>
      <c r="AI105"/>
      <c r="AJ105"/>
      <c r="AK105"/>
    </row>
    <row r="106" spans="1:37" s="93" customFormat="1" ht="33" customHeight="1">
      <c r="A106" s="109"/>
      <c r="B106" s="109"/>
      <c r="C106" s="109"/>
      <c r="D106" s="109"/>
      <c r="E106" s="109"/>
      <c r="F106" s="109"/>
      <c r="G106" s="109"/>
      <c r="H106" s="109"/>
      <c r="I106" s="612"/>
      <c r="J106" s="38" t="s">
        <v>41</v>
      </c>
      <c r="K106" s="571" t="s">
        <v>1186</v>
      </c>
      <c r="L106" s="125" t="s">
        <v>1187</v>
      </c>
      <c r="M106" s="390" t="s">
        <v>1188</v>
      </c>
      <c r="N106" s="499"/>
      <c r="O106" s="669" t="s">
        <v>46</v>
      </c>
      <c r="P106" s="669" t="s">
        <v>40</v>
      </c>
      <c r="Q106" s="125" t="s">
        <v>1189</v>
      </c>
      <c r="R106" s="125" t="s">
        <v>899</v>
      </c>
      <c r="S106" s="298">
        <v>2</v>
      </c>
      <c r="T106" s="125">
        <v>30</v>
      </c>
      <c r="U106" s="117">
        <v>2</v>
      </c>
      <c r="V106" s="814"/>
      <c r="W106" s="202" t="s">
        <v>86</v>
      </c>
      <c r="X106" s="38" t="s">
        <v>200</v>
      </c>
      <c r="Y106" s="174"/>
      <c r="Z106" s="38"/>
      <c r="AA106" s="567"/>
      <c r="AB106" s="119"/>
      <c r="AC106" s="119"/>
      <c r="AD106" s="119" t="s">
        <v>134</v>
      </c>
      <c r="AE106" t="s">
        <v>1132</v>
      </c>
      <c r="AF106" s="218"/>
    </row>
    <row r="107" spans="1:37" ht="13.5" customHeight="1">
      <c r="I107" s="612"/>
      <c r="J107" s="38" t="s">
        <v>41</v>
      </c>
      <c r="K107" s="118" t="s">
        <v>1190</v>
      </c>
      <c r="L107" s="99" t="s">
        <v>1191</v>
      </c>
      <c r="M107" s="59" t="s">
        <v>1192</v>
      </c>
      <c r="N107" s="136"/>
      <c r="O107" s="669" t="s">
        <v>46</v>
      </c>
      <c r="P107" s="669" t="s">
        <v>40</v>
      </c>
      <c r="Q107" s="99" t="s">
        <v>1193</v>
      </c>
      <c r="R107" s="99" t="s">
        <v>899</v>
      </c>
      <c r="S107" s="59">
        <v>16</v>
      </c>
      <c r="T107" s="92">
        <v>100</v>
      </c>
      <c r="U107" s="92">
        <v>8</v>
      </c>
      <c r="V107" s="136" t="s">
        <v>50</v>
      </c>
      <c r="W107" s="123" t="s">
        <v>50</v>
      </c>
      <c r="X107" s="38" t="s">
        <v>51</v>
      </c>
      <c r="Y107" s="38" t="s">
        <v>52</v>
      </c>
      <c r="Z107" s="38" t="s">
        <v>52</v>
      </c>
      <c r="AA107" s="142"/>
      <c r="AB107" s="97"/>
      <c r="AC107" s="29" t="s">
        <v>40</v>
      </c>
      <c r="AD107" s="29" t="s">
        <v>134</v>
      </c>
      <c r="AE107" t="s">
        <v>1005</v>
      </c>
      <c r="AF107" s="29" t="s">
        <v>46</v>
      </c>
    </row>
    <row r="108" spans="1:37" s="64" customFormat="1" ht="12" customHeight="1">
      <c r="A108"/>
      <c r="B108"/>
      <c r="C108"/>
      <c r="D108"/>
      <c r="E108"/>
      <c r="F108"/>
      <c r="G108"/>
      <c r="H108"/>
      <c r="I108" s="612"/>
      <c r="J108" s="38" t="s">
        <v>41</v>
      </c>
      <c r="K108" s="118" t="s">
        <v>1194</v>
      </c>
      <c r="L108" s="99" t="s">
        <v>1195</v>
      </c>
      <c r="M108" s="131" t="s">
        <v>1196</v>
      </c>
      <c r="N108" s="200" t="s">
        <v>1197</v>
      </c>
      <c r="O108" s="669" t="s">
        <v>46</v>
      </c>
      <c r="P108" s="669" t="s">
        <v>40</v>
      </c>
      <c r="Q108" s="99" t="s">
        <v>1193</v>
      </c>
      <c r="R108" s="99" t="s">
        <v>899</v>
      </c>
      <c r="S108" s="131">
        <v>4</v>
      </c>
      <c r="T108" s="99">
        <v>150</v>
      </c>
      <c r="U108" s="59">
        <v>2</v>
      </c>
      <c r="V108" s="811" t="s">
        <v>50</v>
      </c>
      <c r="W108" s="120" t="s">
        <v>50</v>
      </c>
      <c r="X108" s="38" t="s">
        <v>51</v>
      </c>
      <c r="Y108" s="38" t="s">
        <v>52</v>
      </c>
      <c r="Z108" s="38" t="s">
        <v>52</v>
      </c>
      <c r="AA108" s="144"/>
      <c r="AB108" s="29"/>
      <c r="AC108" s="29" t="s">
        <v>40</v>
      </c>
      <c r="AD108" s="29" t="s">
        <v>134</v>
      </c>
      <c r="AE108" t="s">
        <v>1005</v>
      </c>
      <c r="AF108" s="29" t="s">
        <v>46</v>
      </c>
    </row>
    <row r="109" spans="1:37" s="64" customFormat="1" ht="12" customHeight="1">
      <c r="A109"/>
      <c r="B109"/>
      <c r="C109"/>
      <c r="D109"/>
      <c r="E109"/>
      <c r="F109"/>
      <c r="G109"/>
      <c r="H109"/>
      <c r="I109" s="612"/>
      <c r="J109" s="38" t="s">
        <v>41</v>
      </c>
      <c r="K109" s="118" t="s">
        <v>1198</v>
      </c>
      <c r="L109" s="99" t="s">
        <v>1199</v>
      </c>
      <c r="M109" s="131" t="s">
        <v>1200</v>
      </c>
      <c r="N109" s="200" t="s">
        <v>1201</v>
      </c>
      <c r="O109" s="669" t="s">
        <v>46</v>
      </c>
      <c r="P109" s="669" t="s">
        <v>40</v>
      </c>
      <c r="Q109" s="99" t="s">
        <v>1193</v>
      </c>
      <c r="R109" s="99" t="s">
        <v>899</v>
      </c>
      <c r="S109" s="131">
        <v>4</v>
      </c>
      <c r="T109" s="99">
        <v>150</v>
      </c>
      <c r="U109" s="59">
        <v>2</v>
      </c>
      <c r="V109" s="811" t="s">
        <v>50</v>
      </c>
      <c r="W109" s="120" t="s">
        <v>50</v>
      </c>
      <c r="X109" s="38" t="s">
        <v>51</v>
      </c>
      <c r="Y109" s="38" t="s">
        <v>52</v>
      </c>
      <c r="Z109" s="38" t="s">
        <v>52</v>
      </c>
      <c r="AA109" s="144"/>
      <c r="AB109" s="29"/>
      <c r="AC109" s="29" t="s">
        <v>40</v>
      </c>
      <c r="AD109" s="29" t="s">
        <v>134</v>
      </c>
      <c r="AE109" t="s">
        <v>1202</v>
      </c>
      <c r="AF109" s="29" t="s">
        <v>46</v>
      </c>
    </row>
    <row r="110" spans="1:37" ht="12" customHeight="1"/>
    <row r="111" spans="1:37" ht="18" customHeight="1">
      <c r="A111" s="31"/>
      <c r="B111" s="31"/>
      <c r="I111" s="612"/>
      <c r="J111" s="38" t="s">
        <v>41</v>
      </c>
      <c r="K111" s="687" t="s">
        <v>1213</v>
      </c>
      <c r="L111" s="113" t="s">
        <v>241</v>
      </c>
      <c r="M111" s="631" t="s">
        <v>1214</v>
      </c>
      <c r="N111" s="296"/>
      <c r="O111" s="669" t="s">
        <v>46</v>
      </c>
      <c r="P111" s="669" t="s">
        <v>40</v>
      </c>
      <c r="Q111" s="99" t="s">
        <v>1148</v>
      </c>
      <c r="R111" s="99" t="s">
        <v>163</v>
      </c>
      <c r="S111" s="55">
        <v>32</v>
      </c>
      <c r="T111" s="295" t="s">
        <v>1215</v>
      </c>
      <c r="U111" s="56">
        <v>8</v>
      </c>
      <c r="V111" s="617" t="s">
        <v>50</v>
      </c>
      <c r="W111" s="123" t="s">
        <v>86</v>
      </c>
      <c r="X111" s="38" t="s">
        <v>51</v>
      </c>
      <c r="Y111" s="38"/>
      <c r="Z111" s="38"/>
      <c r="AA111" s="142"/>
      <c r="AB111" s="97"/>
      <c r="AC111" s="29"/>
      <c r="AD111" s="29" t="s">
        <v>134</v>
      </c>
      <c r="AE111" t="s">
        <v>1202</v>
      </c>
      <c r="AF111" s="29"/>
    </row>
    <row r="112" spans="1:37" ht="12" customHeight="1">
      <c r="A112" s="31"/>
      <c r="B112" s="31"/>
      <c r="I112" s="612"/>
      <c r="J112" s="133" t="s">
        <v>41</v>
      </c>
      <c r="K112" s="681" t="s">
        <v>1663</v>
      </c>
      <c r="L112" s="51" t="s">
        <v>1664</v>
      </c>
      <c r="M112" s="51" t="s">
        <v>1665</v>
      </c>
      <c r="N112" s="296"/>
      <c r="O112" s="669" t="s">
        <v>46</v>
      </c>
      <c r="P112" s="669" t="s">
        <v>40</v>
      </c>
      <c r="Q112" s="99" t="s">
        <v>1666</v>
      </c>
      <c r="R112" s="100" t="s">
        <v>899</v>
      </c>
      <c r="S112" s="55">
        <v>4</v>
      </c>
      <c r="T112" s="295">
        <v>100</v>
      </c>
      <c r="U112" s="56">
        <v>2</v>
      </c>
      <c r="V112" s="617"/>
      <c r="W112" s="123" t="s">
        <v>65</v>
      </c>
      <c r="X112" s="38" t="s">
        <v>200</v>
      </c>
      <c r="Y112" s="38"/>
      <c r="Z112" s="38"/>
      <c r="AA112" s="142"/>
      <c r="AB112" s="97"/>
      <c r="AC112" s="29"/>
      <c r="AD112" s="29"/>
      <c r="AF112" s="29"/>
    </row>
    <row r="113" spans="1:32" ht="12" customHeight="1">
      <c r="A113" s="31"/>
      <c r="B113" s="31"/>
      <c r="I113" s="612"/>
      <c r="J113" s="133" t="s">
        <v>41</v>
      </c>
      <c r="K113" s="681" t="s">
        <v>1667</v>
      </c>
      <c r="L113" s="51" t="s">
        <v>1664</v>
      </c>
      <c r="M113" s="51" t="s">
        <v>1668</v>
      </c>
      <c r="N113" s="296"/>
      <c r="O113" s="669" t="s">
        <v>46</v>
      </c>
      <c r="P113" s="669" t="s">
        <v>40</v>
      </c>
      <c r="Q113" s="99" t="s">
        <v>1666</v>
      </c>
      <c r="R113" s="100" t="s">
        <v>899</v>
      </c>
      <c r="S113" s="55">
        <v>4</v>
      </c>
      <c r="T113" s="295">
        <v>100</v>
      </c>
      <c r="U113" s="56">
        <v>2</v>
      </c>
      <c r="V113" s="617"/>
      <c r="W113" s="123" t="s">
        <v>65</v>
      </c>
      <c r="X113" s="38" t="s">
        <v>200</v>
      </c>
      <c r="Y113" s="38"/>
      <c r="Z113" s="38"/>
      <c r="AA113" s="142"/>
      <c r="AB113" s="97"/>
      <c r="AC113" s="29"/>
      <c r="AD113" s="29"/>
      <c r="AE113" s="29"/>
      <c r="AF113" s="29"/>
    </row>
    <row r="114" spans="1:32" ht="12" customHeight="1">
      <c r="A114" s="31"/>
      <c r="B114" s="31"/>
      <c r="I114" s="612"/>
      <c r="J114" s="133" t="s">
        <v>41</v>
      </c>
      <c r="K114" s="681" t="s">
        <v>1669</v>
      </c>
      <c r="L114" s="51" t="s">
        <v>1664</v>
      </c>
      <c r="M114" s="51" t="s">
        <v>1670</v>
      </c>
      <c r="N114" s="296"/>
      <c r="O114" s="669" t="s">
        <v>46</v>
      </c>
      <c r="P114" s="669" t="s">
        <v>40</v>
      </c>
      <c r="Q114" s="99" t="s">
        <v>1666</v>
      </c>
      <c r="R114" s="100" t="s">
        <v>899</v>
      </c>
      <c r="S114" s="55">
        <v>4</v>
      </c>
      <c r="T114" s="295">
        <v>100</v>
      </c>
      <c r="U114" s="56">
        <v>2</v>
      </c>
      <c r="V114" s="617"/>
      <c r="W114" s="123" t="s">
        <v>65</v>
      </c>
      <c r="X114" s="38" t="s">
        <v>200</v>
      </c>
      <c r="Y114" s="38"/>
      <c r="Z114" s="38"/>
      <c r="AA114" s="142"/>
      <c r="AB114" s="97"/>
      <c r="AC114" s="29"/>
      <c r="AD114" s="29"/>
      <c r="AE114" s="29"/>
      <c r="AF114" s="29"/>
    </row>
    <row r="115" spans="1:32" s="93" customFormat="1" ht="42.75" customHeight="1">
      <c r="A115" s="31"/>
      <c r="B115" s="110"/>
      <c r="C115" s="153"/>
      <c r="D115" s="153"/>
      <c r="E115" s="109"/>
      <c r="F115" s="31"/>
      <c r="G115" s="432"/>
      <c r="H115" s="433"/>
      <c r="I115" s="612"/>
      <c r="J115" s="38" t="s">
        <v>41</v>
      </c>
      <c r="K115" s="1340" t="s">
        <v>1216</v>
      </c>
      <c r="L115" s="1341" t="s">
        <v>1217</v>
      </c>
      <c r="M115" s="1342" t="s">
        <v>1218</v>
      </c>
      <c r="N115" s="435"/>
      <c r="O115" s="669" t="s">
        <v>46</v>
      </c>
      <c r="P115" s="669" t="s">
        <v>40</v>
      </c>
      <c r="Q115" s="125" t="s">
        <v>1219</v>
      </c>
      <c r="R115" s="125" t="s">
        <v>1220</v>
      </c>
      <c r="S115" s="117">
        <v>16</v>
      </c>
      <c r="T115" s="434">
        <v>120</v>
      </c>
      <c r="U115" s="434">
        <v>4</v>
      </c>
      <c r="V115" s="435" t="s">
        <v>50</v>
      </c>
      <c r="W115" s="436" t="s">
        <v>50</v>
      </c>
      <c r="X115" s="38" t="s">
        <v>51</v>
      </c>
      <c r="Y115" s="38" t="s">
        <v>52</v>
      </c>
      <c r="Z115" s="38" t="s">
        <v>52</v>
      </c>
      <c r="AA115" s="142"/>
      <c r="AB115" s="97"/>
      <c r="AC115" s="119" t="s">
        <v>40</v>
      </c>
      <c r="AD115" s="119" t="s">
        <v>134</v>
      </c>
      <c r="AE115" t="s">
        <v>1005</v>
      </c>
      <c r="AF115" s="119" t="s">
        <v>46</v>
      </c>
    </row>
    <row r="116" spans="1:32" s="93" customFormat="1" ht="60" customHeight="1">
      <c r="A116"/>
      <c r="B116"/>
      <c r="C116" s="109"/>
      <c r="D116" s="109"/>
      <c r="E116" s="109"/>
      <c r="F116" s="109"/>
      <c r="G116" s="109"/>
      <c r="H116" s="109"/>
      <c r="I116" s="612"/>
      <c r="J116" s="38" t="s">
        <v>41</v>
      </c>
      <c r="K116" s="116" t="s">
        <v>1221</v>
      </c>
      <c r="L116" s="125" t="s">
        <v>1222</v>
      </c>
      <c r="M116" s="298" t="s">
        <v>1223</v>
      </c>
      <c r="N116" s="297"/>
      <c r="O116" s="654" t="s">
        <v>40</v>
      </c>
      <c r="P116" s="654" t="s">
        <v>46</v>
      </c>
      <c r="Q116" s="125" t="s">
        <v>1224</v>
      </c>
      <c r="R116" s="125" t="s">
        <v>1040</v>
      </c>
      <c r="S116" s="298">
        <v>16</v>
      </c>
      <c r="T116" s="125">
        <v>500</v>
      </c>
      <c r="U116" s="117">
        <v>6</v>
      </c>
      <c r="V116" s="630" t="s">
        <v>50</v>
      </c>
      <c r="W116" s="158" t="s">
        <v>86</v>
      </c>
      <c r="X116" s="38" t="s">
        <v>51</v>
      </c>
      <c r="Y116" s="38" t="s">
        <v>181</v>
      </c>
      <c r="Z116" s="38" t="s">
        <v>341</v>
      </c>
      <c r="AA116" s="144"/>
      <c r="AB116" s="29"/>
      <c r="AC116" s="119" t="s">
        <v>40</v>
      </c>
      <c r="AD116" s="119" t="s">
        <v>134</v>
      </c>
      <c r="AE116" t="s">
        <v>1202</v>
      </c>
      <c r="AF116" s="119" t="s">
        <v>46</v>
      </c>
    </row>
    <row r="117" spans="1:32" s="93" customFormat="1" ht="83.25" customHeight="1">
      <c r="A117"/>
      <c r="B117"/>
      <c r="C117" s="109"/>
      <c r="D117" s="109"/>
      <c r="E117" s="109"/>
      <c r="F117" s="109"/>
      <c r="G117" s="109"/>
      <c r="H117" s="109"/>
      <c r="I117" s="612"/>
      <c r="J117" s="38" t="s">
        <v>41</v>
      </c>
      <c r="K117" s="688" t="s">
        <v>1671</v>
      </c>
      <c r="L117" s="125" t="s">
        <v>1226</v>
      </c>
      <c r="M117" s="298" t="s">
        <v>1227</v>
      </c>
      <c r="N117" s="125"/>
      <c r="O117" s="669" t="s">
        <v>46</v>
      </c>
      <c r="P117" s="669" t="s">
        <v>40</v>
      </c>
      <c r="Q117" s="258"/>
      <c r="R117" s="259" t="s">
        <v>1228</v>
      </c>
      <c r="S117" s="125">
        <v>4</v>
      </c>
      <c r="T117" s="125">
        <v>200</v>
      </c>
      <c r="U117" s="117">
        <v>2</v>
      </c>
      <c r="V117" s="630"/>
      <c r="W117" s="158" t="s">
        <v>86</v>
      </c>
      <c r="X117" s="38" t="s">
        <v>51</v>
      </c>
      <c r="Y117" s="103" t="s">
        <v>52</v>
      </c>
      <c r="Z117" s="103" t="s">
        <v>52</v>
      </c>
      <c r="AA117" s="53"/>
      <c r="AB117" s="54"/>
      <c r="AC117" s="54" t="s">
        <v>40</v>
      </c>
      <c r="AD117" s="54" t="s">
        <v>134</v>
      </c>
      <c r="AE117" t="s">
        <v>1229</v>
      </c>
      <c r="AF117" s="181"/>
    </row>
    <row r="118" spans="1:32" s="93" customFormat="1" ht="25.5" customHeight="1">
      <c r="A118"/>
      <c r="B118"/>
      <c r="C118" s="109"/>
      <c r="D118" s="109"/>
      <c r="E118" s="109"/>
      <c r="F118" s="109"/>
      <c r="G118" s="109"/>
      <c r="H118" s="109"/>
      <c r="I118" s="612"/>
      <c r="J118" s="38" t="s">
        <v>41</v>
      </c>
      <c r="K118" s="688" t="s">
        <v>1230</v>
      </c>
      <c r="L118" s="125" t="s">
        <v>1231</v>
      </c>
      <c r="M118" s="298" t="s">
        <v>1232</v>
      </c>
      <c r="N118" s="125"/>
      <c r="O118" s="654" t="s">
        <v>46</v>
      </c>
      <c r="P118" s="654" t="s">
        <v>40</v>
      </c>
      <c r="Q118" s="297" t="s">
        <v>1032</v>
      </c>
      <c r="R118" s="437" t="s">
        <v>1233</v>
      </c>
      <c r="S118" s="298">
        <v>8</v>
      </c>
      <c r="T118" s="125">
        <v>150</v>
      </c>
      <c r="U118" s="117">
        <v>4</v>
      </c>
      <c r="V118" s="630" t="s">
        <v>50</v>
      </c>
      <c r="W118" s="158" t="s">
        <v>50</v>
      </c>
      <c r="X118" s="38" t="s">
        <v>51</v>
      </c>
      <c r="Y118" s="103" t="s">
        <v>52</v>
      </c>
      <c r="Z118" s="103" t="s">
        <v>52</v>
      </c>
      <c r="AA118" s="53"/>
      <c r="AB118" s="54"/>
      <c r="AC118" s="54"/>
      <c r="AD118" s="54" t="s">
        <v>134</v>
      </c>
      <c r="AE118" t="s">
        <v>1229</v>
      </c>
      <c r="AF118" s="181"/>
    </row>
    <row r="119" spans="1:32" s="93" customFormat="1" ht="91.5" customHeight="1">
      <c r="A119"/>
      <c r="B119"/>
      <c r="C119" s="109"/>
      <c r="D119" s="109"/>
      <c r="E119" s="109"/>
      <c r="F119" s="109"/>
      <c r="G119" s="109"/>
      <c r="H119" s="109"/>
      <c r="I119" s="612"/>
      <c r="J119" s="38" t="s">
        <v>41</v>
      </c>
      <c r="K119" s="688" t="s">
        <v>269</v>
      </c>
      <c r="L119" s="364" t="s">
        <v>655</v>
      </c>
      <c r="M119" s="298" t="s">
        <v>1235</v>
      </c>
      <c r="N119" s="125" t="s">
        <v>62</v>
      </c>
      <c r="O119" s="654" t="s">
        <v>40</v>
      </c>
      <c r="P119" s="654" t="s">
        <v>46</v>
      </c>
      <c r="Q119" s="297" t="s">
        <v>1236</v>
      </c>
      <c r="R119" s="735" t="s">
        <v>272</v>
      </c>
      <c r="S119" s="298">
        <v>8</v>
      </c>
      <c r="T119" s="125">
        <f>240+120</f>
        <v>360</v>
      </c>
      <c r="U119" s="117">
        <v>4</v>
      </c>
      <c r="V119" s="630"/>
      <c r="W119" s="158" t="s">
        <v>65</v>
      </c>
      <c r="X119" s="38" t="s">
        <v>200</v>
      </c>
      <c r="Y119" s="103" t="s">
        <v>52</v>
      </c>
      <c r="Z119" s="103" t="s">
        <v>52</v>
      </c>
      <c r="AA119" s="53"/>
      <c r="AB119" s="54"/>
      <c r="AC119" s="54" t="s">
        <v>40</v>
      </c>
      <c r="AD119" s="54"/>
      <c r="AE119" t="s">
        <v>997</v>
      </c>
      <c r="AF119" s="181"/>
    </row>
    <row r="120" spans="1:32" s="93" customFormat="1" ht="48" customHeight="1">
      <c r="A120" s="109"/>
      <c r="B120" s="109"/>
      <c r="C120" s="109"/>
      <c r="D120" s="109"/>
      <c r="E120" s="109"/>
      <c r="F120" s="109"/>
      <c r="G120" s="109"/>
      <c r="H120" s="109"/>
      <c r="I120" s="612"/>
      <c r="J120" s="38" t="s">
        <v>41</v>
      </c>
      <c r="K120" s="125" t="s">
        <v>1237</v>
      </c>
      <c r="L120" s="125" t="s">
        <v>1238</v>
      </c>
      <c r="M120" s="298" t="s">
        <v>1239</v>
      </c>
      <c r="N120" s="125"/>
      <c r="O120" s="654" t="s">
        <v>40</v>
      </c>
      <c r="P120" s="654" t="s">
        <v>46</v>
      </c>
      <c r="Q120" s="297" t="s">
        <v>1240</v>
      </c>
      <c r="R120" s="125" t="s">
        <v>1040</v>
      </c>
      <c r="S120" s="298">
        <v>16</v>
      </c>
      <c r="T120" s="125">
        <v>500</v>
      </c>
      <c r="U120" s="117">
        <v>4</v>
      </c>
      <c r="V120" s="630"/>
      <c r="W120" s="158" t="s">
        <v>86</v>
      </c>
      <c r="X120" s="38" t="s">
        <v>51</v>
      </c>
      <c r="Y120" s="38" t="s">
        <v>52</v>
      </c>
      <c r="Z120" s="38" t="s">
        <v>52</v>
      </c>
      <c r="AA120" s="609"/>
      <c r="AB120" s="181"/>
      <c r="AC120" s="181" t="s">
        <v>40</v>
      </c>
      <c r="AD120" s="181" t="s">
        <v>134</v>
      </c>
      <c r="AE120" t="s">
        <v>997</v>
      </c>
      <c r="AF120" s="181" t="s">
        <v>46</v>
      </c>
    </row>
    <row r="121" spans="1:32" ht="12" customHeight="1">
      <c r="A121" s="31"/>
      <c r="B121" s="31"/>
      <c r="H121" s="109"/>
      <c r="I121" s="612"/>
      <c r="J121" s="38" t="s">
        <v>41</v>
      </c>
      <c r="K121" s="118" t="s">
        <v>1241</v>
      </c>
      <c r="L121" s="99" t="s">
        <v>1242</v>
      </c>
      <c r="M121" s="107" t="s">
        <v>1243</v>
      </c>
      <c r="N121" s="105" t="s">
        <v>1244</v>
      </c>
      <c r="O121" s="654" t="s">
        <v>46</v>
      </c>
      <c r="P121" s="654" t="s">
        <v>40</v>
      </c>
      <c r="Q121" s="480" t="s">
        <v>1576</v>
      </c>
      <c r="R121" s="99" t="s">
        <v>899</v>
      </c>
      <c r="S121" s="107">
        <v>18</v>
      </c>
      <c r="T121" s="105">
        <v>450</v>
      </c>
      <c r="U121" s="105">
        <v>12</v>
      </c>
      <c r="V121" s="480"/>
      <c r="W121" s="123" t="s">
        <v>50</v>
      </c>
      <c r="X121" s="38" t="s">
        <v>51</v>
      </c>
      <c r="Y121" s="103" t="s">
        <v>52</v>
      </c>
      <c r="Z121" s="103" t="s">
        <v>52</v>
      </c>
      <c r="AA121" s="142"/>
      <c r="AB121" s="97"/>
      <c r="AC121" s="29" t="s">
        <v>40</v>
      </c>
      <c r="AD121" s="54" t="s">
        <v>134</v>
      </c>
      <c r="AE121" t="s">
        <v>1229</v>
      </c>
      <c r="AF121" s="29" t="s">
        <v>46</v>
      </c>
    </row>
    <row r="122" spans="1:32" s="114" customFormat="1" ht="25.5" customHeight="1">
      <c r="A122"/>
      <c r="B122"/>
      <c r="H122" s="109"/>
      <c r="I122" s="612"/>
      <c r="J122" s="613" t="s">
        <v>41</v>
      </c>
      <c r="K122" s="689" t="s">
        <v>1672</v>
      </c>
      <c r="L122" s="138" t="s">
        <v>1673</v>
      </c>
      <c r="M122" s="482" t="s">
        <v>46</v>
      </c>
      <c r="N122" s="138"/>
      <c r="O122" s="654" t="s">
        <v>46</v>
      </c>
      <c r="P122" s="654" t="s">
        <v>40</v>
      </c>
      <c r="Q122" s="481" t="s">
        <v>1148</v>
      </c>
      <c r="R122" s="234" t="s">
        <v>1674</v>
      </c>
      <c r="S122" s="482">
        <v>4</v>
      </c>
      <c r="T122" s="138">
        <v>100</v>
      </c>
      <c r="U122" s="138">
        <v>2</v>
      </c>
      <c r="V122" s="815"/>
      <c r="W122" s="209" t="s">
        <v>65</v>
      </c>
      <c r="X122" s="38" t="s">
        <v>200</v>
      </c>
      <c r="Y122" s="103" t="s">
        <v>52</v>
      </c>
      <c r="Z122" s="103" t="s">
        <v>52</v>
      </c>
      <c r="AA122"/>
      <c r="AB122"/>
      <c r="AC122" s="54" t="s">
        <v>48</v>
      </c>
      <c r="AD122" s="54"/>
      <c r="AE122"/>
      <c r="AF122" s="54" t="s">
        <v>1675</v>
      </c>
    </row>
    <row r="123" spans="1:32" s="114" customFormat="1" ht="25.5" customHeight="1">
      <c r="A123"/>
      <c r="B123"/>
      <c r="H123" s="109"/>
      <c r="I123" s="612"/>
      <c r="J123" s="613" t="s">
        <v>41</v>
      </c>
      <c r="K123" s="689" t="s">
        <v>1676</v>
      </c>
      <c r="L123" s="138" t="s">
        <v>1673</v>
      </c>
      <c r="M123" s="482" t="s">
        <v>1402</v>
      </c>
      <c r="N123" s="138"/>
      <c r="O123" s="654" t="s">
        <v>46</v>
      </c>
      <c r="P123" s="654" t="s">
        <v>40</v>
      </c>
      <c r="Q123" s="481" t="s">
        <v>1148</v>
      </c>
      <c r="R123" s="234" t="s">
        <v>769</v>
      </c>
      <c r="S123" s="482">
        <v>16</v>
      </c>
      <c r="T123" s="138">
        <v>100</v>
      </c>
      <c r="U123" s="138">
        <v>4</v>
      </c>
      <c r="V123" s="815"/>
      <c r="W123" s="209" t="s">
        <v>65</v>
      </c>
      <c r="X123" s="38" t="s">
        <v>200</v>
      </c>
      <c r="Y123" s="103" t="s">
        <v>52</v>
      </c>
      <c r="Z123" s="103" t="s">
        <v>52</v>
      </c>
      <c r="AA123"/>
      <c r="AB123"/>
      <c r="AC123" s="54" t="s">
        <v>48</v>
      </c>
      <c r="AD123" s="54"/>
      <c r="AE123" s="54"/>
      <c r="AF123" s="54" t="s">
        <v>1675</v>
      </c>
    </row>
    <row r="124" spans="1:32" s="114" customFormat="1" ht="39.75" customHeight="1">
      <c r="A124"/>
      <c r="B124"/>
      <c r="I124" s="612"/>
      <c r="J124" s="38" t="s">
        <v>41</v>
      </c>
      <c r="K124" s="118" t="s">
        <v>1266</v>
      </c>
      <c r="L124" s="99" t="s">
        <v>1267</v>
      </c>
      <c r="M124" s="101" t="s">
        <v>1268</v>
      </c>
      <c r="N124" s="126"/>
      <c r="O124" s="654" t="s">
        <v>40</v>
      </c>
      <c r="P124" s="654" t="s">
        <v>46</v>
      </c>
      <c r="Q124" s="126" t="s">
        <v>239</v>
      </c>
      <c r="R124" s="126" t="s">
        <v>1040</v>
      </c>
      <c r="S124" s="126">
        <v>16</v>
      </c>
      <c r="T124" s="126">
        <v>500</v>
      </c>
      <c r="U124" s="126">
        <v>4</v>
      </c>
      <c r="V124" s="211" t="s">
        <v>50</v>
      </c>
      <c r="W124" s="123" t="s">
        <v>50</v>
      </c>
      <c r="X124" s="38" t="s">
        <v>200</v>
      </c>
      <c r="Y124" s="103" t="s">
        <v>52</v>
      </c>
      <c r="Z124" s="103" t="s">
        <v>52</v>
      </c>
      <c r="AA124" s="144"/>
      <c r="AB124" s="29"/>
      <c r="AC124" s="54" t="s">
        <v>40</v>
      </c>
      <c r="AD124" s="54" t="s">
        <v>134</v>
      </c>
      <c r="AE124" t="s">
        <v>1202</v>
      </c>
      <c r="AF124" s="54" t="s">
        <v>46</v>
      </c>
    </row>
    <row r="125" spans="1:32" s="93" customFormat="1" ht="25.5" customHeight="1">
      <c r="A125" s="109"/>
      <c r="B125" s="109"/>
      <c r="C125" s="109"/>
      <c r="D125" s="109"/>
      <c r="E125" s="109"/>
      <c r="F125" s="109"/>
      <c r="G125" s="109"/>
      <c r="H125" s="109"/>
      <c r="I125" s="612"/>
      <c r="J125" s="38" t="s">
        <v>41</v>
      </c>
      <c r="K125" s="688" t="s">
        <v>1272</v>
      </c>
      <c r="L125" s="125" t="s">
        <v>307</v>
      </c>
      <c r="M125" s="298" t="s">
        <v>1273</v>
      </c>
      <c r="N125" s="125"/>
      <c r="O125" s="654" t="s">
        <v>46</v>
      </c>
      <c r="P125" s="654" t="s">
        <v>40</v>
      </c>
      <c r="Q125" s="297" t="s">
        <v>1148</v>
      </c>
      <c r="R125" s="483" t="s">
        <v>138</v>
      </c>
      <c r="S125" s="125">
        <v>8</v>
      </c>
      <c r="T125" s="125">
        <v>80</v>
      </c>
      <c r="U125" s="125">
        <v>4</v>
      </c>
      <c r="V125" s="432" t="s">
        <v>50</v>
      </c>
      <c r="W125" s="484" t="s">
        <v>50</v>
      </c>
      <c r="X125" s="38" t="s">
        <v>51</v>
      </c>
      <c r="Y125" s="38" t="s">
        <v>52</v>
      </c>
      <c r="Z125" s="38" t="s">
        <v>52</v>
      </c>
      <c r="AA125" s="609"/>
      <c r="AB125" s="181"/>
      <c r="AC125" s="181"/>
      <c r="AD125" s="181" t="s">
        <v>134</v>
      </c>
      <c r="AE125" t="s">
        <v>907</v>
      </c>
      <c r="AF125" s="181"/>
    </row>
    <row r="126" spans="1:32" ht="12" customHeight="1">
      <c r="I126" s="612"/>
      <c r="J126" s="38" t="s">
        <v>41</v>
      </c>
      <c r="K126" s="118" t="s">
        <v>1274</v>
      </c>
      <c r="L126" s="99" t="s">
        <v>1275</v>
      </c>
      <c r="M126" s="107" t="s">
        <v>1276</v>
      </c>
      <c r="N126" s="105" t="s">
        <v>1277</v>
      </c>
      <c r="O126" s="654" t="s">
        <v>40</v>
      </c>
      <c r="P126" s="654" t="s">
        <v>46</v>
      </c>
      <c r="Q126" s="105" t="s">
        <v>1278</v>
      </c>
      <c r="R126" s="480" t="s">
        <v>1040</v>
      </c>
      <c r="S126" s="99">
        <v>16</v>
      </c>
      <c r="T126" s="99">
        <v>200</v>
      </c>
      <c r="U126" s="99">
        <v>4</v>
      </c>
      <c r="V126" s="102"/>
      <c r="W126" s="214" t="s">
        <v>50</v>
      </c>
      <c r="X126" s="38" t="s">
        <v>51</v>
      </c>
      <c r="Y126" s="103" t="s">
        <v>52</v>
      </c>
      <c r="Z126" s="103" t="s">
        <v>52</v>
      </c>
      <c r="AC126" s="29" t="s">
        <v>40</v>
      </c>
      <c r="AD126" s="54" t="s">
        <v>134</v>
      </c>
      <c r="AE126" t="s">
        <v>1093</v>
      </c>
      <c r="AF126" s="29" t="s">
        <v>46</v>
      </c>
    </row>
    <row r="127" spans="1:32" s="109" customFormat="1" ht="24" customHeight="1">
      <c r="I127" s="612"/>
      <c r="J127" s="38" t="s">
        <v>41</v>
      </c>
      <c r="K127" s="692" t="s">
        <v>1677</v>
      </c>
      <c r="L127" s="125" t="s">
        <v>1678</v>
      </c>
      <c r="M127" s="298" t="s">
        <v>1679</v>
      </c>
      <c r="N127" s="125"/>
      <c r="O127" s="654" t="s">
        <v>46</v>
      </c>
      <c r="P127" s="654" t="s">
        <v>40</v>
      </c>
      <c r="Q127" s="297" t="s">
        <v>1148</v>
      </c>
      <c r="R127" s="483" t="s">
        <v>138</v>
      </c>
      <c r="S127" s="125">
        <v>8</v>
      </c>
      <c r="T127" s="125">
        <v>150</v>
      </c>
      <c r="U127" s="125">
        <v>4</v>
      </c>
      <c r="V127" s="432"/>
      <c r="W127" s="485" t="s">
        <v>65</v>
      </c>
      <c r="X127" s="38" t="s">
        <v>51</v>
      </c>
      <c r="Y127" s="38"/>
      <c r="Z127" s="38"/>
      <c r="AC127" s="119"/>
      <c r="AD127" s="181"/>
      <c r="AE127" s="181"/>
      <c r="AF127" s="119"/>
    </row>
    <row r="128" spans="1:32" ht="12" customHeight="1">
      <c r="I128" s="612"/>
      <c r="J128" s="38" t="s">
        <v>41</v>
      </c>
      <c r="K128" s="663" t="s">
        <v>1680</v>
      </c>
      <c r="L128" s="99" t="s">
        <v>1083</v>
      </c>
      <c r="M128" s="130" t="s">
        <v>1681</v>
      </c>
      <c r="N128" s="100"/>
      <c r="O128" s="654" t="s">
        <v>46</v>
      </c>
      <c r="P128" s="654" t="s">
        <v>40</v>
      </c>
      <c r="Q128" s="100" t="s">
        <v>1657</v>
      </c>
      <c r="R128" s="263" t="s">
        <v>1682</v>
      </c>
      <c r="S128" s="99">
        <v>4</v>
      </c>
      <c r="T128" s="99">
        <v>50</v>
      </c>
      <c r="U128" s="99">
        <v>4</v>
      </c>
      <c r="V128" s="102" t="s">
        <v>1683</v>
      </c>
      <c r="W128" s="214" t="s">
        <v>50</v>
      </c>
      <c r="X128" s="38" t="s">
        <v>51</v>
      </c>
      <c r="Y128" s="103" t="s">
        <v>52</v>
      </c>
      <c r="Z128" s="103" t="s">
        <v>52</v>
      </c>
      <c r="AC128" s="29"/>
      <c r="AD128" s="54" t="s">
        <v>134</v>
      </c>
      <c r="AF128" s="29"/>
    </row>
    <row r="129" spans="1:37" s="64" customFormat="1" ht="12" customHeight="1">
      <c r="A129"/>
      <c r="B129"/>
      <c r="C129"/>
      <c r="D129"/>
      <c r="E129"/>
      <c r="F129"/>
      <c r="G129"/>
      <c r="H129"/>
      <c r="I129" s="612"/>
      <c r="J129" s="38" t="s">
        <v>41</v>
      </c>
      <c r="K129" s="118" t="s">
        <v>1279</v>
      </c>
      <c r="L129" s="99" t="s">
        <v>1280</v>
      </c>
      <c r="M129" s="131" t="s">
        <v>1281</v>
      </c>
      <c r="N129" s="99"/>
      <c r="O129" s="654" t="s">
        <v>46</v>
      </c>
      <c r="P129" s="654" t="s">
        <v>40</v>
      </c>
      <c r="Q129" s="51" t="s">
        <v>1282</v>
      </c>
      <c r="R129" s="200" t="s">
        <v>899</v>
      </c>
      <c r="S129" s="99">
        <v>16</v>
      </c>
      <c r="T129" s="99">
        <v>400</v>
      </c>
      <c r="U129" s="99">
        <v>6</v>
      </c>
      <c r="V129" s="102" t="s">
        <v>86</v>
      </c>
      <c r="W129" s="137" t="s">
        <v>86</v>
      </c>
      <c r="X129" s="38" t="s">
        <v>51</v>
      </c>
      <c r="Y129" s="103" t="s">
        <v>229</v>
      </c>
      <c r="Z129" s="103" t="s">
        <v>1081</v>
      </c>
      <c r="AA129" s="144"/>
      <c r="AB129" s="29"/>
      <c r="AC129" s="29" t="s">
        <v>40</v>
      </c>
      <c r="AD129" s="54" t="s">
        <v>134</v>
      </c>
      <c r="AE129" t="s">
        <v>1229</v>
      </c>
      <c r="AF129" s="29" t="s">
        <v>46</v>
      </c>
    </row>
    <row r="130" spans="1:37" s="64" customFormat="1" ht="23.25" customHeight="1">
      <c r="A130"/>
      <c r="B130"/>
      <c r="C130"/>
      <c r="D130"/>
      <c r="E130"/>
      <c r="F130"/>
      <c r="G130"/>
      <c r="H130"/>
      <c r="I130" s="612"/>
      <c r="J130" s="38" t="s">
        <v>41</v>
      </c>
      <c r="K130" s="118" t="s">
        <v>1684</v>
      </c>
      <c r="L130" s="99" t="s">
        <v>1685</v>
      </c>
      <c r="M130" s="131" t="s">
        <v>1686</v>
      </c>
      <c r="N130" s="99"/>
      <c r="O130" s="654" t="s">
        <v>46</v>
      </c>
      <c r="P130" s="654" t="s">
        <v>40</v>
      </c>
      <c r="Q130" s="126" t="s">
        <v>1148</v>
      </c>
      <c r="R130" s="99" t="s">
        <v>769</v>
      </c>
      <c r="S130" s="100">
        <v>8</v>
      </c>
      <c r="T130" s="487" t="s">
        <v>1687</v>
      </c>
      <c r="U130" s="101">
        <v>4</v>
      </c>
      <c r="V130" s="237"/>
      <c r="W130" s="121" t="s">
        <v>65</v>
      </c>
      <c r="X130" s="38" t="s">
        <v>648</v>
      </c>
      <c r="Y130" s="103" t="s">
        <v>52</v>
      </c>
      <c r="Z130" s="103" t="s">
        <v>52</v>
      </c>
      <c r="AA130" s="144"/>
      <c r="AB130" s="29"/>
      <c r="AC130" s="29" t="s">
        <v>40</v>
      </c>
      <c r="AD130" s="54" t="s">
        <v>134</v>
      </c>
      <c r="AE130" t="s">
        <v>1202</v>
      </c>
      <c r="AF130" s="29" t="s">
        <v>46</v>
      </c>
    </row>
    <row r="131" spans="1:37" s="64" customFormat="1" ht="23.25" customHeight="1">
      <c r="A131"/>
      <c r="B131"/>
      <c r="C131"/>
      <c r="D131"/>
      <c r="E131"/>
      <c r="F131"/>
      <c r="G131"/>
      <c r="H131"/>
      <c r="I131" s="612"/>
      <c r="J131" s="38" t="s">
        <v>41</v>
      </c>
      <c r="K131" s="118" t="s">
        <v>1688</v>
      </c>
      <c r="L131" s="99" t="s">
        <v>1689</v>
      </c>
      <c r="M131" s="131" t="s">
        <v>1690</v>
      </c>
      <c r="N131" s="99"/>
      <c r="O131" s="654" t="s">
        <v>46</v>
      </c>
      <c r="P131" s="654" t="s">
        <v>40</v>
      </c>
      <c r="Q131" s="99" t="s">
        <v>1299</v>
      </c>
      <c r="R131" s="99" t="s">
        <v>769</v>
      </c>
      <c r="S131" s="99">
        <v>16</v>
      </c>
      <c r="T131" s="99">
        <v>500</v>
      </c>
      <c r="U131" s="99">
        <v>6</v>
      </c>
      <c r="V131" s="200"/>
      <c r="W131" s="569" t="s">
        <v>86</v>
      </c>
      <c r="X131" s="38" t="s">
        <v>648</v>
      </c>
      <c r="Y131" s="103"/>
      <c r="Z131" s="103"/>
      <c r="AA131" s="29"/>
      <c r="AB131" s="29"/>
      <c r="AC131" s="29" t="s">
        <v>40</v>
      </c>
      <c r="AD131" s="29"/>
      <c r="AE131" t="s">
        <v>1202</v>
      </c>
      <c r="AF131" s="29"/>
      <c r="AG131" s="63"/>
      <c r="AH131" s="63"/>
      <c r="AI131" s="63"/>
      <c r="AJ131" s="63"/>
      <c r="AK131" s="63"/>
    </row>
    <row r="132" spans="1:37" s="64" customFormat="1" ht="27" customHeight="1">
      <c r="A132"/>
      <c r="B132"/>
      <c r="C132"/>
      <c r="D132"/>
      <c r="E132"/>
      <c r="F132"/>
      <c r="G132"/>
      <c r="H132"/>
      <c r="I132" s="612"/>
      <c r="J132" s="38" t="s">
        <v>41</v>
      </c>
      <c r="K132" s="118" t="s">
        <v>1291</v>
      </c>
      <c r="L132" s="99" t="s">
        <v>1292</v>
      </c>
      <c r="M132" s="131" t="s">
        <v>1293</v>
      </c>
      <c r="N132" s="99" t="s">
        <v>1294</v>
      </c>
      <c r="O132" s="654" t="s">
        <v>46</v>
      </c>
      <c r="P132" s="654" t="s">
        <v>40</v>
      </c>
      <c r="Q132" s="99" t="s">
        <v>1295</v>
      </c>
      <c r="R132" s="99" t="s">
        <v>808</v>
      </c>
      <c r="S132" s="99">
        <v>6</v>
      </c>
      <c r="T132" s="99">
        <v>50</v>
      </c>
      <c r="U132" s="59">
        <v>2</v>
      </c>
      <c r="V132" s="811" t="s">
        <v>50</v>
      </c>
      <c r="W132" s="120" t="s">
        <v>86</v>
      </c>
      <c r="X132" s="38" t="s">
        <v>51</v>
      </c>
      <c r="Y132" s="103" t="s">
        <v>229</v>
      </c>
      <c r="Z132" s="103" t="s">
        <v>1081</v>
      </c>
      <c r="AA132" s="144"/>
      <c r="AB132" s="29"/>
      <c r="AC132" s="29" t="s">
        <v>40</v>
      </c>
      <c r="AD132" s="54" t="s">
        <v>134</v>
      </c>
      <c r="AE132" t="s">
        <v>1229</v>
      </c>
      <c r="AF132" s="29" t="s">
        <v>46</v>
      </c>
    </row>
    <row r="133" spans="1:37" ht="12" customHeight="1">
      <c r="I133" s="612"/>
      <c r="J133" s="38" t="s">
        <v>41</v>
      </c>
      <c r="K133" s="691" t="s">
        <v>1691</v>
      </c>
      <c r="L133" s="99" t="s">
        <v>1692</v>
      </c>
      <c r="M133" s="59" t="s">
        <v>1693</v>
      </c>
      <c r="N133" s="92"/>
      <c r="O133" s="651" t="s">
        <v>46</v>
      </c>
      <c r="P133" s="651" t="s">
        <v>46</v>
      </c>
      <c r="Q133" s="92" t="s">
        <v>1543</v>
      </c>
      <c r="R133" s="92" t="s">
        <v>1694</v>
      </c>
      <c r="S133" s="92">
        <v>19</v>
      </c>
      <c r="T133" s="92">
        <v>700.19</v>
      </c>
      <c r="U133" s="92">
        <v>4</v>
      </c>
      <c r="V133" s="136"/>
      <c r="W133" s="123" t="s">
        <v>50</v>
      </c>
      <c r="X133" s="38" t="s">
        <v>51</v>
      </c>
      <c r="Y133" s="103" t="s">
        <v>52</v>
      </c>
      <c r="Z133" s="103" t="s">
        <v>52</v>
      </c>
      <c r="AA133" s="142"/>
      <c r="AC133" s="29" t="s">
        <v>40</v>
      </c>
      <c r="AD133" s="54" t="s">
        <v>134</v>
      </c>
      <c r="AE133" s="54"/>
      <c r="AF133" s="29" t="s">
        <v>46</v>
      </c>
    </row>
    <row r="134" spans="1:37" s="93" customFormat="1" ht="27.75" customHeight="1">
      <c r="A134"/>
      <c r="B134"/>
      <c r="C134" s="109"/>
      <c r="D134" s="109"/>
      <c r="E134" s="109"/>
      <c r="F134" s="109"/>
      <c r="G134" s="109"/>
      <c r="H134" s="109"/>
      <c r="I134" s="612"/>
      <c r="J134" s="38" t="s">
        <v>41</v>
      </c>
      <c r="K134" s="694" t="s">
        <v>1695</v>
      </c>
      <c r="L134" s="125" t="s">
        <v>689</v>
      </c>
      <c r="M134" s="298" t="s">
        <v>1396</v>
      </c>
      <c r="N134" s="125"/>
      <c r="O134" s="654" t="s">
        <v>46</v>
      </c>
      <c r="P134" s="654" t="s">
        <v>40</v>
      </c>
      <c r="Q134" s="297" t="s">
        <v>1148</v>
      </c>
      <c r="R134" s="437" t="s">
        <v>138</v>
      </c>
      <c r="S134" s="298">
        <v>4</v>
      </c>
      <c r="T134" s="125">
        <v>80</v>
      </c>
      <c r="U134" s="117">
        <v>2</v>
      </c>
      <c r="V134" s="630"/>
      <c r="W134" s="158" t="s">
        <v>50</v>
      </c>
      <c r="X134" s="38" t="s">
        <v>51</v>
      </c>
      <c r="Y134" s="103" t="s">
        <v>52</v>
      </c>
      <c r="Z134" s="103" t="s">
        <v>52</v>
      </c>
      <c r="AA134" s="53"/>
      <c r="AB134" s="54"/>
      <c r="AC134" s="54"/>
      <c r="AD134" s="54" t="s">
        <v>134</v>
      </c>
      <c r="AE134"/>
      <c r="AF134" s="181"/>
    </row>
    <row r="135" spans="1:37" ht="12" customHeight="1">
      <c r="I135" s="612"/>
      <c r="J135" s="38" t="s">
        <v>41</v>
      </c>
      <c r="K135" s="118" t="s">
        <v>1301</v>
      </c>
      <c r="L135" s="828" t="s">
        <v>1302</v>
      </c>
      <c r="M135" s="59" t="s">
        <v>1303</v>
      </c>
      <c r="N135" s="92" t="s">
        <v>1304</v>
      </c>
      <c r="O135" s="654" t="s">
        <v>40</v>
      </c>
      <c r="P135" s="654" t="s">
        <v>46</v>
      </c>
      <c r="Q135" s="92" t="s">
        <v>1305</v>
      </c>
      <c r="R135" s="92" t="s">
        <v>1040</v>
      </c>
      <c r="S135" s="92">
        <v>16</v>
      </c>
      <c r="T135" s="92">
        <v>200</v>
      </c>
      <c r="U135" s="92">
        <v>4</v>
      </c>
      <c r="V135" s="136"/>
      <c r="W135" s="123" t="s">
        <v>50</v>
      </c>
      <c r="X135" s="38" t="s">
        <v>51</v>
      </c>
      <c r="Y135" s="103" t="s">
        <v>52</v>
      </c>
      <c r="Z135" s="103" t="s">
        <v>52</v>
      </c>
      <c r="AC135" s="29" t="s">
        <v>40</v>
      </c>
      <c r="AD135" s="54" t="s">
        <v>134</v>
      </c>
      <c r="AE135" t="s">
        <v>1093</v>
      </c>
      <c r="AF135" s="29" t="s">
        <v>46</v>
      </c>
    </row>
    <row r="136" spans="1:37" ht="12" customHeight="1">
      <c r="I136" s="612"/>
      <c r="J136" s="38" t="s">
        <v>41</v>
      </c>
      <c r="K136" s="118" t="s">
        <v>1306</v>
      </c>
      <c r="L136" s="99" t="s">
        <v>1307</v>
      </c>
      <c r="M136" s="59" t="s">
        <v>1308</v>
      </c>
      <c r="N136" s="92"/>
      <c r="O136" s="654" t="s">
        <v>46</v>
      </c>
      <c r="P136" s="654" t="s">
        <v>40</v>
      </c>
      <c r="Q136" s="92" t="s">
        <v>1219</v>
      </c>
      <c r="R136" s="92" t="s">
        <v>1255</v>
      </c>
      <c r="S136" s="92">
        <v>32</v>
      </c>
      <c r="T136" s="92">
        <v>150</v>
      </c>
      <c r="U136" s="92">
        <v>8</v>
      </c>
      <c r="V136" s="136" t="s">
        <v>50</v>
      </c>
      <c r="W136" s="123" t="s">
        <v>50</v>
      </c>
      <c r="X136" s="38" t="s">
        <v>51</v>
      </c>
      <c r="Y136" s="103" t="s">
        <v>52</v>
      </c>
      <c r="Z136" s="103" t="s">
        <v>52</v>
      </c>
      <c r="AC136" s="29" t="s">
        <v>40</v>
      </c>
      <c r="AD136" s="54" t="s">
        <v>134</v>
      </c>
      <c r="AE136" t="s">
        <v>1309</v>
      </c>
      <c r="AF136" s="29" t="s">
        <v>46</v>
      </c>
    </row>
    <row r="137" spans="1:37" s="64" customFormat="1" ht="12" customHeight="1">
      <c r="A137"/>
      <c r="B137"/>
      <c r="C137"/>
      <c r="D137"/>
      <c r="E137"/>
      <c r="F137"/>
      <c r="G137"/>
      <c r="H137"/>
      <c r="I137" s="612"/>
      <c r="J137" s="38" t="s">
        <v>41</v>
      </c>
      <c r="K137" s="118" t="s">
        <v>1310</v>
      </c>
      <c r="L137" s="99" t="s">
        <v>1311</v>
      </c>
      <c r="M137" s="131" t="s">
        <v>1312</v>
      </c>
      <c r="N137" s="99"/>
      <c r="O137" s="654" t="s">
        <v>46</v>
      </c>
      <c r="P137" s="654" t="s">
        <v>40</v>
      </c>
      <c r="Q137" s="92" t="s">
        <v>1219</v>
      </c>
      <c r="R137" s="99" t="s">
        <v>1255</v>
      </c>
      <c r="S137" s="99">
        <v>32</v>
      </c>
      <c r="T137" s="99">
        <v>150</v>
      </c>
      <c r="U137" s="59">
        <v>8</v>
      </c>
      <c r="V137" s="811" t="s">
        <v>50</v>
      </c>
      <c r="W137" s="120" t="s">
        <v>86</v>
      </c>
      <c r="X137" s="38" t="s">
        <v>51</v>
      </c>
      <c r="Y137" s="103" t="s">
        <v>52</v>
      </c>
      <c r="Z137" s="103" t="s">
        <v>52</v>
      </c>
      <c r="AA137" s="144"/>
      <c r="AB137" s="29"/>
      <c r="AC137" s="29" t="s">
        <v>40</v>
      </c>
      <c r="AD137" s="54" t="s">
        <v>134</v>
      </c>
      <c r="AE137" t="s">
        <v>1309</v>
      </c>
      <c r="AF137" s="29" t="s">
        <v>46</v>
      </c>
    </row>
    <row r="138" spans="1:37" ht="15.75" customHeight="1">
      <c r="I138" s="612"/>
      <c r="J138" s="38" t="s">
        <v>41</v>
      </c>
      <c r="K138" s="118" t="s">
        <v>1313</v>
      </c>
      <c r="L138" s="99" t="s">
        <v>1696</v>
      </c>
      <c r="M138" s="59" t="s">
        <v>1315</v>
      </c>
      <c r="N138" s="92"/>
      <c r="O138" s="654" t="s">
        <v>46</v>
      </c>
      <c r="P138" s="654" t="s">
        <v>40</v>
      </c>
      <c r="Q138" s="92" t="s">
        <v>1697</v>
      </c>
      <c r="R138" s="92" t="s">
        <v>1255</v>
      </c>
      <c r="S138" s="92">
        <v>32</v>
      </c>
      <c r="T138" s="92">
        <v>180</v>
      </c>
      <c r="U138" s="92">
        <v>8</v>
      </c>
      <c r="V138" s="811" t="s">
        <v>50</v>
      </c>
      <c r="W138" s="123" t="s">
        <v>50</v>
      </c>
      <c r="X138" s="38" t="s">
        <v>51</v>
      </c>
      <c r="Y138" s="103" t="s">
        <v>52</v>
      </c>
      <c r="Z138" s="103" t="s">
        <v>52</v>
      </c>
      <c r="AA138" s="144"/>
      <c r="AB138" s="29"/>
      <c r="AC138" s="29" t="s">
        <v>40</v>
      </c>
      <c r="AD138" s="54" t="s">
        <v>134</v>
      </c>
      <c r="AE138" t="s">
        <v>1309</v>
      </c>
      <c r="AF138" s="29" t="s">
        <v>46</v>
      </c>
    </row>
    <row r="139" spans="1:37" s="109" customFormat="1" ht="25.5" customHeight="1">
      <c r="I139" s="612"/>
      <c r="J139" s="38" t="s">
        <v>41</v>
      </c>
      <c r="K139" s="571" t="s">
        <v>1316</v>
      </c>
      <c r="L139" s="125" t="s">
        <v>1317</v>
      </c>
      <c r="M139" s="117" t="s">
        <v>1318</v>
      </c>
      <c r="N139" s="434"/>
      <c r="O139" s="654" t="s">
        <v>46</v>
      </c>
      <c r="P139" s="654" t="s">
        <v>40</v>
      </c>
      <c r="Q139" s="92" t="s">
        <v>1697</v>
      </c>
      <c r="R139" s="434" t="s">
        <v>1255</v>
      </c>
      <c r="S139" s="434">
        <v>32</v>
      </c>
      <c r="T139" s="434">
        <v>180</v>
      </c>
      <c r="U139" s="434">
        <v>8</v>
      </c>
      <c r="V139" s="811" t="s">
        <v>50</v>
      </c>
      <c r="W139" s="436" t="s">
        <v>50</v>
      </c>
      <c r="X139" s="38" t="s">
        <v>51</v>
      </c>
      <c r="Y139" s="38" t="s">
        <v>52</v>
      </c>
      <c r="Z139" s="38" t="s">
        <v>52</v>
      </c>
      <c r="AA139" s="567"/>
      <c r="AB139" s="119"/>
      <c r="AC139" s="119" t="s">
        <v>40</v>
      </c>
      <c r="AD139" s="181" t="s">
        <v>134</v>
      </c>
      <c r="AE139" t="s">
        <v>1309</v>
      </c>
      <c r="AF139" s="119" t="s">
        <v>46</v>
      </c>
    </row>
    <row r="140" spans="1:37" ht="24.75" customHeight="1">
      <c r="A140" s="31"/>
      <c r="B140" s="31"/>
      <c r="I140" s="612"/>
      <c r="J140" s="38" t="s">
        <v>41</v>
      </c>
      <c r="K140" s="118" t="s">
        <v>1319</v>
      </c>
      <c r="L140" s="125" t="s">
        <v>1320</v>
      </c>
      <c r="M140" s="59" t="s">
        <v>1321</v>
      </c>
      <c r="N140" s="92"/>
      <c r="O140" s="654" t="s">
        <v>46</v>
      </c>
      <c r="P140" s="654" t="s">
        <v>40</v>
      </c>
      <c r="Q140" s="92" t="s">
        <v>1697</v>
      </c>
      <c r="R140" s="92" t="s">
        <v>899</v>
      </c>
      <c r="S140" s="92">
        <v>16</v>
      </c>
      <c r="T140" s="92">
        <v>150</v>
      </c>
      <c r="U140" s="92">
        <v>8</v>
      </c>
      <c r="V140" s="811" t="s">
        <v>50</v>
      </c>
      <c r="W140" s="123" t="s">
        <v>50</v>
      </c>
      <c r="X140" s="38" t="s">
        <v>51</v>
      </c>
      <c r="Y140" s="103" t="s">
        <v>229</v>
      </c>
      <c r="Z140" s="103" t="s">
        <v>1081</v>
      </c>
      <c r="AA140" s="142"/>
      <c r="AB140" s="97"/>
      <c r="AC140" s="29" t="s">
        <v>40</v>
      </c>
      <c r="AD140" s="54" t="s">
        <v>134</v>
      </c>
      <c r="AE140" t="s">
        <v>1309</v>
      </c>
      <c r="AF140" s="29" t="s">
        <v>46</v>
      </c>
    </row>
    <row r="141" spans="1:37" s="64" customFormat="1" ht="27.75" customHeight="1">
      <c r="A141"/>
      <c r="B141"/>
      <c r="C141"/>
      <c r="D141"/>
      <c r="E141"/>
      <c r="F141"/>
      <c r="G141"/>
      <c r="H141"/>
      <c r="I141" s="612"/>
      <c r="J141" s="38" t="s">
        <v>41</v>
      </c>
      <c r="K141" s="118" t="s">
        <v>1322</v>
      </c>
      <c r="L141" s="125" t="s">
        <v>1323</v>
      </c>
      <c r="M141" s="131" t="s">
        <v>1324</v>
      </c>
      <c r="O141" s="654" t="s">
        <v>46</v>
      </c>
      <c r="P141" s="654" t="s">
        <v>40</v>
      </c>
      <c r="Q141" s="92" t="s">
        <v>1697</v>
      </c>
      <c r="R141" s="99" t="s">
        <v>899</v>
      </c>
      <c r="S141" s="99">
        <v>16</v>
      </c>
      <c r="T141" s="99">
        <v>150</v>
      </c>
      <c r="U141" s="59">
        <v>8</v>
      </c>
      <c r="V141" s="811" t="s">
        <v>50</v>
      </c>
      <c r="W141" s="120" t="s">
        <v>86</v>
      </c>
      <c r="X141" s="38" t="s">
        <v>51</v>
      </c>
      <c r="Y141" s="103" t="s">
        <v>229</v>
      </c>
      <c r="Z141" s="103" t="s">
        <v>1081</v>
      </c>
      <c r="AA141" s="144"/>
      <c r="AB141" s="29"/>
      <c r="AC141" s="29" t="s">
        <v>40</v>
      </c>
      <c r="AD141" s="54" t="s">
        <v>134</v>
      </c>
      <c r="AE141" t="s">
        <v>1309</v>
      </c>
      <c r="AF141" s="29" t="s">
        <v>46</v>
      </c>
    </row>
    <row r="142" spans="1:37" s="64" customFormat="1" ht="12" customHeight="1">
      <c r="A142"/>
      <c r="B142"/>
      <c r="C142"/>
      <c r="D142"/>
      <c r="E142"/>
      <c r="F142"/>
      <c r="G142"/>
      <c r="H142"/>
      <c r="I142" s="612"/>
      <c r="J142" s="38" t="s">
        <v>41</v>
      </c>
      <c r="K142" s="118" t="s">
        <v>1325</v>
      </c>
      <c r="L142" s="99" t="s">
        <v>1326</v>
      </c>
      <c r="M142" s="59" t="s">
        <v>1327</v>
      </c>
      <c r="N142" s="99"/>
      <c r="O142" s="654" t="s">
        <v>46</v>
      </c>
      <c r="P142" s="654" t="s">
        <v>40</v>
      </c>
      <c r="Q142" s="92" t="s">
        <v>1328</v>
      </c>
      <c r="R142" s="105" t="s">
        <v>1255</v>
      </c>
      <c r="S142" s="105">
        <v>32</v>
      </c>
      <c r="T142" s="105">
        <v>150</v>
      </c>
      <c r="U142" s="105">
        <v>8</v>
      </c>
      <c r="V142" s="811" t="s">
        <v>50</v>
      </c>
      <c r="W142" s="123" t="s">
        <v>50</v>
      </c>
      <c r="X142" s="38" t="s">
        <v>51</v>
      </c>
      <c r="Y142" s="103" t="s">
        <v>52</v>
      </c>
      <c r="Z142" s="103" t="s">
        <v>52</v>
      </c>
      <c r="AA142" s="144"/>
      <c r="AB142" s="29"/>
      <c r="AC142" s="29" t="s">
        <v>40</v>
      </c>
      <c r="AD142" s="54" t="s">
        <v>134</v>
      </c>
      <c r="AE142" t="s">
        <v>1309</v>
      </c>
      <c r="AF142" s="29" t="s">
        <v>46</v>
      </c>
    </row>
    <row r="143" spans="1:37" ht="12" customHeight="1">
      <c r="A143" s="31"/>
      <c r="B143" s="31"/>
      <c r="I143" s="612"/>
      <c r="J143" s="38" t="s">
        <v>41</v>
      </c>
      <c r="K143" s="118" t="s">
        <v>1329</v>
      </c>
      <c r="L143" s="99" t="s">
        <v>1330</v>
      </c>
      <c r="M143" s="59" t="s">
        <v>1331</v>
      </c>
      <c r="N143" s="92" t="s">
        <v>1332</v>
      </c>
      <c r="O143" s="654" t="s">
        <v>46</v>
      </c>
      <c r="P143" s="654" t="s">
        <v>40</v>
      </c>
      <c r="Q143" s="92" t="s">
        <v>1328</v>
      </c>
      <c r="R143" s="99" t="s">
        <v>1255</v>
      </c>
      <c r="S143" s="99">
        <v>64</v>
      </c>
      <c r="T143" s="99">
        <v>300</v>
      </c>
      <c r="U143" s="99">
        <v>8</v>
      </c>
      <c r="V143" s="811" t="s">
        <v>50</v>
      </c>
      <c r="W143" s="214" t="s">
        <v>50</v>
      </c>
      <c r="X143" s="38" t="s">
        <v>51</v>
      </c>
      <c r="Y143" s="103" t="s">
        <v>52</v>
      </c>
      <c r="Z143" s="103" t="s">
        <v>52</v>
      </c>
      <c r="AA143" s="142"/>
      <c r="AB143" s="97"/>
      <c r="AC143" s="29" t="s">
        <v>40</v>
      </c>
      <c r="AD143" s="54" t="s">
        <v>134</v>
      </c>
      <c r="AE143" t="s">
        <v>1309</v>
      </c>
      <c r="AF143" s="29" t="s">
        <v>46</v>
      </c>
    </row>
    <row r="144" spans="1:37" s="64" customFormat="1" ht="12" customHeight="1">
      <c r="A144"/>
      <c r="B144"/>
      <c r="C144"/>
      <c r="D144"/>
      <c r="E144"/>
      <c r="F144"/>
      <c r="G144"/>
      <c r="H144"/>
      <c r="I144" s="612"/>
      <c r="J144" s="38" t="s">
        <v>41</v>
      </c>
      <c r="K144" s="118" t="s">
        <v>1333</v>
      </c>
      <c r="L144" s="99" t="s">
        <v>1330</v>
      </c>
      <c r="M144" s="101" t="s">
        <v>1334</v>
      </c>
      <c r="N144" s="126" t="s">
        <v>1335</v>
      </c>
      <c r="O144" s="654" t="s">
        <v>46</v>
      </c>
      <c r="P144" s="654" t="s">
        <v>40</v>
      </c>
      <c r="Q144" s="92" t="s">
        <v>1328</v>
      </c>
      <c r="R144" s="99" t="s">
        <v>1255</v>
      </c>
      <c r="S144" s="99">
        <v>64</v>
      </c>
      <c r="T144" s="99">
        <v>300</v>
      </c>
      <c r="U144" s="99">
        <v>8</v>
      </c>
      <c r="V144" s="811" t="s">
        <v>50</v>
      </c>
      <c r="W144" s="137" t="s">
        <v>86</v>
      </c>
      <c r="X144" s="38" t="s">
        <v>51</v>
      </c>
      <c r="Y144" s="103" t="s">
        <v>52</v>
      </c>
      <c r="Z144" s="103" t="s">
        <v>52</v>
      </c>
      <c r="AA144" s="144"/>
      <c r="AB144" s="29"/>
      <c r="AC144" s="29" t="s">
        <v>40</v>
      </c>
      <c r="AD144" s="54" t="s">
        <v>134</v>
      </c>
      <c r="AE144" t="s">
        <v>1309</v>
      </c>
      <c r="AF144" s="29" t="s">
        <v>46</v>
      </c>
    </row>
    <row r="145" spans="1:37" s="576" customFormat="1" ht="33.75" customHeight="1">
      <c r="A145" s="109"/>
      <c r="B145" s="109"/>
      <c r="C145" s="570"/>
      <c r="D145" s="570"/>
      <c r="E145" s="570"/>
      <c r="F145" s="109"/>
      <c r="G145" s="570"/>
      <c r="H145" s="570"/>
      <c r="I145" s="612"/>
      <c r="J145" s="503" t="s">
        <v>41</v>
      </c>
      <c r="K145" s="571" t="s">
        <v>1348</v>
      </c>
      <c r="L145" s="571" t="s">
        <v>1349</v>
      </c>
      <c r="M145" s="572" t="s">
        <v>1350</v>
      </c>
      <c r="N145" s="573"/>
      <c r="O145" s="654" t="s">
        <v>40</v>
      </c>
      <c r="P145" s="654" t="s">
        <v>46</v>
      </c>
      <c r="Q145" s="1344" t="s">
        <v>1351</v>
      </c>
      <c r="R145" s="571" t="s">
        <v>1040</v>
      </c>
      <c r="S145" s="571">
        <v>6</v>
      </c>
      <c r="T145" s="571">
        <v>300</v>
      </c>
      <c r="U145" s="571">
        <v>4</v>
      </c>
      <c r="V145" s="816"/>
      <c r="W145" s="574" t="s">
        <v>50</v>
      </c>
      <c r="X145" s="38" t="s">
        <v>51</v>
      </c>
      <c r="Y145" s="38" t="s">
        <v>52</v>
      </c>
      <c r="Z145" s="38" t="s">
        <v>52</v>
      </c>
      <c r="AA145" s="567"/>
      <c r="AB145" s="119"/>
      <c r="AC145" s="575" t="s">
        <v>40</v>
      </c>
      <c r="AD145" s="181" t="s">
        <v>134</v>
      </c>
      <c r="AE145" t="s">
        <v>1202</v>
      </c>
      <c r="AF145" s="575" t="s">
        <v>46</v>
      </c>
    </row>
    <row r="146" spans="1:37" s="96" customFormat="1" ht="14.45" customHeight="1"/>
    <row r="147" spans="1:37" s="96" customFormat="1" ht="29.1" customHeight="1">
      <c r="A147"/>
      <c r="B147"/>
      <c r="C147" s="115"/>
      <c r="D147" s="115"/>
      <c r="E147" s="115"/>
      <c r="F147"/>
      <c r="G147" s="115"/>
      <c r="H147" s="115"/>
      <c r="I147" s="612"/>
      <c r="J147" s="154" t="s">
        <v>41</v>
      </c>
      <c r="K147" s="116" t="s">
        <v>1355</v>
      </c>
      <c r="L147" s="116" t="s">
        <v>1356</v>
      </c>
      <c r="M147" s="117" t="s">
        <v>1357</v>
      </c>
      <c r="N147" s="177" t="s">
        <v>1358</v>
      </c>
      <c r="O147" s="654" t="s">
        <v>46</v>
      </c>
      <c r="P147" s="654" t="s">
        <v>46</v>
      </c>
      <c r="Q147" s="178" t="s">
        <v>1698</v>
      </c>
      <c r="R147" s="179" t="s">
        <v>1359</v>
      </c>
      <c r="S147" s="216">
        <v>16</v>
      </c>
      <c r="T147" s="216">
        <v>20</v>
      </c>
      <c r="U147" s="216">
        <v>4</v>
      </c>
      <c r="V147" s="817" t="s">
        <v>50</v>
      </c>
      <c r="W147" s="180" t="s">
        <v>50</v>
      </c>
      <c r="X147" s="38" t="s">
        <v>51</v>
      </c>
      <c r="Y147" s="38" t="s">
        <v>52</v>
      </c>
      <c r="Z147" s="38" t="s">
        <v>52</v>
      </c>
      <c r="AA147" s="142" t="s">
        <v>1360</v>
      </c>
      <c r="AB147" s="134" t="s">
        <v>720</v>
      </c>
      <c r="AC147" s="119" t="s">
        <v>40</v>
      </c>
      <c r="AD147" s="54" t="s">
        <v>134</v>
      </c>
      <c r="AE147" t="s">
        <v>1229</v>
      </c>
      <c r="AF147" s="119" t="s">
        <v>46</v>
      </c>
    </row>
    <row r="148" spans="1:37" s="64" customFormat="1" ht="12" customHeight="1">
      <c r="A148"/>
      <c r="B148"/>
      <c r="C148"/>
      <c r="D148"/>
      <c r="E148"/>
      <c r="F148"/>
      <c r="G148"/>
      <c r="H148"/>
      <c r="I148" s="612"/>
      <c r="J148" s="38" t="s">
        <v>41</v>
      </c>
      <c r="K148" s="99" t="s">
        <v>1361</v>
      </c>
      <c r="L148" s="99" t="s">
        <v>1362</v>
      </c>
      <c r="M148" s="107" t="s">
        <v>1363</v>
      </c>
      <c r="N148" s="105"/>
      <c r="O148" s="654" t="s">
        <v>40</v>
      </c>
      <c r="P148" s="654" t="s">
        <v>46</v>
      </c>
      <c r="Q148" s="830" t="s">
        <v>84</v>
      </c>
      <c r="R148" s="105" t="s">
        <v>1040</v>
      </c>
      <c r="S148" s="105">
        <v>10</v>
      </c>
      <c r="T148" s="105">
        <v>320</v>
      </c>
      <c r="U148" s="105">
        <v>4</v>
      </c>
      <c r="V148" s="480"/>
      <c r="W148" s="124" t="s">
        <v>86</v>
      </c>
      <c r="X148" s="38" t="s">
        <v>51</v>
      </c>
      <c r="Y148" s="489" t="s">
        <v>52</v>
      </c>
      <c r="Z148" s="489" t="s">
        <v>52</v>
      </c>
      <c r="AA148" s="146"/>
      <c r="AB148" s="111"/>
      <c r="AC148" s="111"/>
      <c r="AD148" s="490" t="s">
        <v>134</v>
      </c>
      <c r="AE148" t="s">
        <v>997</v>
      </c>
      <c r="AF148" s="111"/>
    </row>
    <row r="149" spans="1:37" s="64" customFormat="1" ht="27.75" customHeight="1">
      <c r="A149"/>
      <c r="B149"/>
      <c r="C149"/>
      <c r="D149"/>
      <c r="E149"/>
      <c r="F149"/>
      <c r="G149"/>
      <c r="H149"/>
      <c r="I149" s="612"/>
      <c r="J149" s="154" t="s">
        <v>41</v>
      </c>
      <c r="K149" s="118" t="s">
        <v>1364</v>
      </c>
      <c r="L149" s="99" t="s">
        <v>1365</v>
      </c>
      <c r="M149" s="131" t="s">
        <v>1366</v>
      </c>
      <c r="N149" s="112"/>
      <c r="O149" s="654" t="s">
        <v>40</v>
      </c>
      <c r="P149" s="654" t="s">
        <v>46</v>
      </c>
      <c r="Q149" s="829" t="s">
        <v>1698</v>
      </c>
      <c r="R149" s="131" t="s">
        <v>1040</v>
      </c>
      <c r="S149" s="99">
        <v>8</v>
      </c>
      <c r="T149" s="99">
        <v>200</v>
      </c>
      <c r="U149" s="99">
        <v>2</v>
      </c>
      <c r="V149" s="99"/>
      <c r="W149" s="492" t="s">
        <v>86</v>
      </c>
      <c r="X149" s="38" t="s">
        <v>51</v>
      </c>
      <c r="Y149" s="103" t="s">
        <v>52</v>
      </c>
      <c r="Z149" s="103" t="s">
        <v>52</v>
      </c>
      <c r="AA149" s="29"/>
      <c r="AB149" s="29"/>
      <c r="AC149" s="29" t="s">
        <v>40</v>
      </c>
      <c r="AD149" s="29" t="s">
        <v>134</v>
      </c>
      <c r="AE149" t="s">
        <v>1229</v>
      </c>
      <c r="AF149" s="29" t="s">
        <v>46</v>
      </c>
      <c r="AG149" s="63"/>
      <c r="AH149" s="63"/>
      <c r="AI149" s="63"/>
      <c r="AJ149" s="63"/>
      <c r="AK149" s="63"/>
    </row>
    <row r="150" spans="1:37" s="64" customFormat="1" ht="27.75" customHeight="1">
      <c r="A150"/>
      <c r="B150"/>
      <c r="C150"/>
      <c r="D150"/>
      <c r="E150"/>
      <c r="F150"/>
      <c r="G150"/>
      <c r="H150"/>
      <c r="I150" s="612"/>
      <c r="J150" s="154" t="s">
        <v>41</v>
      </c>
      <c r="K150" s="695" t="s">
        <v>1342</v>
      </c>
      <c r="L150" s="707" t="s">
        <v>1343</v>
      </c>
      <c r="M150" s="767" t="s">
        <v>1344</v>
      </c>
      <c r="N150" s="766"/>
      <c r="O150" s="768" t="s">
        <v>46</v>
      </c>
      <c r="P150" s="654" t="s">
        <v>40</v>
      </c>
      <c r="Q150" s="100" t="s">
        <v>1219</v>
      </c>
      <c r="R150" s="258" t="s">
        <v>899</v>
      </c>
      <c r="S150" s="100">
        <v>2</v>
      </c>
      <c r="T150" s="100">
        <v>30</v>
      </c>
      <c r="U150" s="100">
        <v>2</v>
      </c>
      <c r="V150" s="767"/>
      <c r="W150" s="491" t="s">
        <v>50</v>
      </c>
      <c r="X150" s="38" t="s">
        <v>51</v>
      </c>
      <c r="Y150" s="103" t="s">
        <v>52</v>
      </c>
      <c r="Z150" s="103" t="s">
        <v>52</v>
      </c>
      <c r="AA150" s="53"/>
      <c r="AB150" s="54"/>
      <c r="AC150" s="29" t="s">
        <v>40</v>
      </c>
      <c r="AD150" s="29" t="s">
        <v>134</v>
      </c>
      <c r="AE150" t="s">
        <v>907</v>
      </c>
      <c r="AF150" s="54"/>
    </row>
    <row r="151" spans="1:37" s="64" customFormat="1" ht="27.75" customHeight="1">
      <c r="A151"/>
      <c r="B151"/>
      <c r="C151"/>
      <c r="D151"/>
      <c r="E151"/>
      <c r="F151"/>
      <c r="G151"/>
      <c r="H151"/>
      <c r="I151" s="612"/>
      <c r="J151" s="154" t="s">
        <v>41</v>
      </c>
      <c r="K151" s="695" t="s">
        <v>1345</v>
      </c>
      <c r="L151" s="707" t="s">
        <v>1346</v>
      </c>
      <c r="M151" s="767" t="s">
        <v>1347</v>
      </c>
      <c r="N151" s="766"/>
      <c r="O151" s="768" t="s">
        <v>46</v>
      </c>
      <c r="P151" s="654" t="s">
        <v>40</v>
      </c>
      <c r="Q151" s="100" t="s">
        <v>1219</v>
      </c>
      <c r="R151" s="258" t="s">
        <v>899</v>
      </c>
      <c r="S151" s="100">
        <v>2</v>
      </c>
      <c r="T151" s="100">
        <v>30</v>
      </c>
      <c r="U151" s="100">
        <v>2</v>
      </c>
      <c r="V151" s="767"/>
      <c r="W151" s="491" t="s">
        <v>50</v>
      </c>
      <c r="X151" s="38" t="s">
        <v>51</v>
      </c>
      <c r="Y151" s="103" t="s">
        <v>52</v>
      </c>
      <c r="Z151" s="103" t="s">
        <v>52</v>
      </c>
      <c r="AA151" s="53"/>
      <c r="AB151" s="54"/>
      <c r="AC151" s="29" t="s">
        <v>40</v>
      </c>
      <c r="AD151" s="29" t="s">
        <v>134</v>
      </c>
      <c r="AE151" t="s">
        <v>907</v>
      </c>
      <c r="AF151" s="54"/>
    </row>
    <row r="152" spans="1:37" s="64" customFormat="1" ht="31.5" customHeight="1">
      <c r="A152"/>
      <c r="B152"/>
      <c r="C152"/>
      <c r="D152"/>
      <c r="E152"/>
      <c r="F152"/>
      <c r="G152"/>
      <c r="H152"/>
      <c r="I152" s="612"/>
      <c r="J152" s="154" t="s">
        <v>41</v>
      </c>
      <c r="K152" s="858" t="s">
        <v>1699</v>
      </c>
      <c r="L152" s="707" t="s">
        <v>1700</v>
      </c>
      <c r="M152" s="130" t="s">
        <v>1701</v>
      </c>
      <c r="N152" s="177" t="s">
        <v>1702</v>
      </c>
      <c r="O152" s="654" t="s">
        <v>46</v>
      </c>
      <c r="P152" s="654" t="s">
        <v>40</v>
      </c>
      <c r="Q152" s="100" t="s">
        <v>1219</v>
      </c>
      <c r="R152" s="258" t="s">
        <v>899</v>
      </c>
      <c r="S152" s="100">
        <v>2</v>
      </c>
      <c r="T152" s="100">
        <v>30</v>
      </c>
      <c r="U152" s="100">
        <v>2</v>
      </c>
      <c r="V152" s="767"/>
      <c r="W152" s="491" t="s">
        <v>50</v>
      </c>
      <c r="X152" s="38" t="s">
        <v>51</v>
      </c>
      <c r="Y152" s="103" t="s">
        <v>52</v>
      </c>
      <c r="Z152" s="103" t="s">
        <v>52</v>
      </c>
      <c r="AA152" s="53"/>
      <c r="AB152" s="54"/>
      <c r="AC152" s="29" t="s">
        <v>40</v>
      </c>
      <c r="AD152" s="29" t="s">
        <v>134</v>
      </c>
      <c r="AE152" t="s">
        <v>1093</v>
      </c>
      <c r="AF152" s="54"/>
    </row>
    <row r="153" spans="1:37" ht="12" customHeight="1">
      <c r="I153" s="616"/>
      <c r="J153" s="38" t="s">
        <v>41</v>
      </c>
      <c r="K153" s="749" t="s">
        <v>1367</v>
      </c>
      <c r="L153" s="199" t="s">
        <v>1368</v>
      </c>
      <c r="M153" s="100" t="s">
        <v>1369</v>
      </c>
      <c r="N153" s="100"/>
      <c r="O153" s="654" t="s">
        <v>40</v>
      </c>
      <c r="P153" s="654" t="s">
        <v>46</v>
      </c>
      <c r="Q153" s="297" t="s">
        <v>1148</v>
      </c>
      <c r="R153" s="100" t="s">
        <v>1040</v>
      </c>
      <c r="S153" s="100">
        <v>32</v>
      </c>
      <c r="T153" s="100">
        <v>200</v>
      </c>
      <c r="U153" s="100">
        <v>4</v>
      </c>
      <c r="V153" s="767"/>
      <c r="W153" s="491" t="s">
        <v>50</v>
      </c>
      <c r="X153" s="38" t="s">
        <v>51</v>
      </c>
      <c r="Y153" s="334" t="s">
        <v>52</v>
      </c>
      <c r="Z153" s="334" t="s">
        <v>52</v>
      </c>
      <c r="AA153" s="53"/>
      <c r="AB153" s="54"/>
      <c r="AC153" s="54" t="s">
        <v>40</v>
      </c>
      <c r="AD153" s="54" t="s">
        <v>134</v>
      </c>
      <c r="AE153" t="s">
        <v>1229</v>
      </c>
      <c r="AF153" s="54" t="s">
        <v>46</v>
      </c>
    </row>
    <row r="154" spans="1:37" s="109" customFormat="1" ht="45">
      <c r="A154" s="737" t="s">
        <v>1519</v>
      </c>
      <c r="B154" s="738" t="s">
        <v>48</v>
      </c>
      <c r="C154" s="739" t="s">
        <v>1423</v>
      </c>
      <c r="D154" s="739"/>
      <c r="E154" s="740" t="s">
        <v>1424</v>
      </c>
      <c r="F154" s="741">
        <v>1</v>
      </c>
      <c r="G154" s="742" t="s">
        <v>1425</v>
      </c>
      <c r="H154" s="747" t="s">
        <v>48</v>
      </c>
      <c r="I154" s="748">
        <v>1</v>
      </c>
      <c r="J154" s="31" t="s">
        <v>41</v>
      </c>
      <c r="K154" s="838" t="s">
        <v>1426</v>
      </c>
      <c r="L154" s="750" t="s">
        <v>1427</v>
      </c>
      <c r="M154" s="751" t="s">
        <v>1428</v>
      </c>
      <c r="N154" s="743" t="s">
        <v>46</v>
      </c>
      <c r="O154" s="744" t="s">
        <v>46</v>
      </c>
      <c r="P154" s="744" t="s">
        <v>46</v>
      </c>
      <c r="Q154" s="743" t="s">
        <v>1429</v>
      </c>
      <c r="R154" s="743" t="s">
        <v>1430</v>
      </c>
      <c r="S154" s="743">
        <v>8</v>
      </c>
      <c r="T154" s="743">
        <v>16</v>
      </c>
      <c r="U154" s="743">
        <v>4</v>
      </c>
      <c r="V154" s="743"/>
      <c r="W154" s="745" t="s">
        <v>50</v>
      </c>
      <c r="X154" s="38" t="s">
        <v>51</v>
      </c>
      <c r="Y154" s="154" t="s">
        <v>52</v>
      </c>
      <c r="Z154" s="154" t="s">
        <v>52</v>
      </c>
      <c r="AA154" s="746">
        <v>0</v>
      </c>
      <c r="AC154" s="608" t="s">
        <v>48</v>
      </c>
      <c r="AD154" s="608"/>
      <c r="AE154" s="608"/>
      <c r="AF154" s="742" t="s">
        <v>1703</v>
      </c>
    </row>
    <row r="155" spans="1:37" s="109" customFormat="1" ht="75.75" customHeight="1">
      <c r="A155" s="1731" t="s">
        <v>1519</v>
      </c>
      <c r="B155" s="1732" t="s">
        <v>514</v>
      </c>
      <c r="C155" s="1660" t="s">
        <v>1433</v>
      </c>
      <c r="D155" s="1739" t="s">
        <v>1434</v>
      </c>
      <c r="E155" s="1741" t="s">
        <v>1435</v>
      </c>
      <c r="F155" s="1733">
        <v>2</v>
      </c>
      <c r="G155" s="1726" t="s">
        <v>1704</v>
      </c>
      <c r="H155" s="1729" t="s">
        <v>40</v>
      </c>
      <c r="I155" s="1647">
        <f>COUNTIF(J155:J157,"=VIRTUAL")</f>
        <v>3</v>
      </c>
      <c r="J155" s="696" t="s">
        <v>41</v>
      </c>
      <c r="K155" s="174" t="s">
        <v>1437</v>
      </c>
      <c r="L155" s="98" t="s">
        <v>838</v>
      </c>
      <c r="M155" s="218" t="s">
        <v>1438</v>
      </c>
      <c r="N155" s="119" t="s">
        <v>46</v>
      </c>
      <c r="O155" s="503" t="s">
        <v>46</v>
      </c>
      <c r="P155" s="503" t="s">
        <v>46</v>
      </c>
      <c r="Q155" s="218" t="s">
        <v>1148</v>
      </c>
      <c r="R155" s="119" t="s">
        <v>522</v>
      </c>
      <c r="S155" s="222" t="s">
        <v>1440</v>
      </c>
      <c r="T155" s="222" t="s">
        <v>1441</v>
      </c>
      <c r="U155" s="119">
        <v>64</v>
      </c>
      <c r="V155" s="119"/>
      <c r="W155" s="219" t="s">
        <v>50</v>
      </c>
      <c r="X155" s="38" t="s">
        <v>51</v>
      </c>
      <c r="Y155" s="103"/>
      <c r="Z155" s="103"/>
      <c r="AA155" s="119"/>
      <c r="AB155" s="1647" t="s">
        <v>1442</v>
      </c>
      <c r="AC155" s="119" t="s">
        <v>48</v>
      </c>
      <c r="AD155" s="119"/>
      <c r="AE155" s="119"/>
      <c r="AF155" s="218" t="s">
        <v>1443</v>
      </c>
    </row>
    <row r="156" spans="1:37" s="109" customFormat="1" ht="69" customHeight="1">
      <c r="A156" s="1731"/>
      <c r="B156" s="1732"/>
      <c r="C156" s="1661"/>
      <c r="D156" s="1740"/>
      <c r="E156" s="1742"/>
      <c r="F156" s="1733"/>
      <c r="G156" s="1727"/>
      <c r="H156" s="1730"/>
      <c r="I156" s="1648"/>
      <c r="J156" s="696" t="s">
        <v>41</v>
      </c>
      <c r="K156" s="38" t="s">
        <v>1444</v>
      </c>
      <c r="L156" s="97" t="s">
        <v>840</v>
      </c>
      <c r="M156" s="119" t="s">
        <v>1445</v>
      </c>
      <c r="N156" s="119" t="s">
        <v>46</v>
      </c>
      <c r="O156" s="503" t="s">
        <v>46</v>
      </c>
      <c r="P156" s="503" t="s">
        <v>46</v>
      </c>
      <c r="Q156" s="218" t="s">
        <v>1148</v>
      </c>
      <c r="R156" s="119" t="s">
        <v>522</v>
      </c>
      <c r="S156" s="222" t="s">
        <v>1440</v>
      </c>
      <c r="T156" s="222" t="s">
        <v>1441</v>
      </c>
      <c r="U156" s="119">
        <v>64</v>
      </c>
      <c r="V156" s="119"/>
      <c r="W156" s="219" t="s">
        <v>50</v>
      </c>
      <c r="X156" s="38" t="s">
        <v>51</v>
      </c>
      <c r="Y156" s="103"/>
      <c r="Z156" s="103"/>
      <c r="AA156" s="119"/>
      <c r="AB156" s="1648"/>
      <c r="AC156" s="119" t="s">
        <v>48</v>
      </c>
      <c r="AD156" s="119"/>
      <c r="AE156" s="119"/>
      <c r="AF156" s="218" t="s">
        <v>1443</v>
      </c>
    </row>
    <row r="157" spans="1:37" s="109" customFormat="1" ht="85.5" customHeight="1">
      <c r="A157" s="1731"/>
      <c r="B157" s="1732"/>
      <c r="C157" s="223" t="s">
        <v>1446</v>
      </c>
      <c r="D157" s="778"/>
      <c r="E157" s="1742"/>
      <c r="F157" s="1734"/>
      <c r="G157" s="224" t="s">
        <v>1447</v>
      </c>
      <c r="H157" s="1665"/>
      <c r="I157" s="1649"/>
      <c r="J157" s="696" t="s">
        <v>41</v>
      </c>
      <c r="K157" s="38" t="s">
        <v>1448</v>
      </c>
      <c r="L157" s="97" t="s">
        <v>839</v>
      </c>
      <c r="M157" s="119" t="s">
        <v>1449</v>
      </c>
      <c r="N157" s="119" t="s">
        <v>46</v>
      </c>
      <c r="O157" s="503" t="s">
        <v>46</v>
      </c>
      <c r="P157" s="503" t="s">
        <v>46</v>
      </c>
      <c r="Q157" s="218" t="s">
        <v>1148</v>
      </c>
      <c r="R157" s="119" t="s">
        <v>522</v>
      </c>
      <c r="S157" s="222" t="s">
        <v>1440</v>
      </c>
      <c r="T157" s="222" t="s">
        <v>1441</v>
      </c>
      <c r="U157" s="119">
        <v>64</v>
      </c>
      <c r="V157" s="119"/>
      <c r="W157" s="219" t="s">
        <v>50</v>
      </c>
      <c r="X157" s="38" t="s">
        <v>51</v>
      </c>
      <c r="Y157" s="103"/>
      <c r="Z157" s="103"/>
      <c r="AA157" s="119"/>
      <c r="AB157" s="1649"/>
      <c r="AC157" s="119" t="s">
        <v>48</v>
      </c>
      <c r="AD157" s="119"/>
      <c r="AE157" s="119"/>
      <c r="AF157" s="218" t="s">
        <v>1443</v>
      </c>
    </row>
    <row r="158" spans="1:37" ht="30">
      <c r="A158" s="328" t="s">
        <v>1519</v>
      </c>
      <c r="B158" s="329" t="s">
        <v>48</v>
      </c>
      <c r="C158" s="330" t="s">
        <v>1450</v>
      </c>
      <c r="D158" s="330"/>
      <c r="E158" s="330" t="str">
        <f t="shared" ref="E158:E163" si="0">M158</f>
        <v>192.168.13.253</v>
      </c>
      <c r="F158" s="331">
        <v>1</v>
      </c>
      <c r="G158" s="329" t="s">
        <v>1451</v>
      </c>
      <c r="H158" s="332" t="s">
        <v>48</v>
      </c>
      <c r="I158" s="329"/>
      <c r="J158" s="333" t="s">
        <v>479</v>
      </c>
      <c r="K158" s="330" t="s">
        <v>1452</v>
      </c>
      <c r="L158" s="330" t="s">
        <v>1453</v>
      </c>
      <c r="M158" s="330" t="s">
        <v>1454</v>
      </c>
      <c r="N158" s="330" t="s">
        <v>1455</v>
      </c>
      <c r="O158" s="654" t="s">
        <v>40</v>
      </c>
      <c r="P158" s="654" t="s">
        <v>46</v>
      </c>
      <c r="Q158" s="743" t="s">
        <v>1429</v>
      </c>
      <c r="R158" s="330" t="s">
        <v>1456</v>
      </c>
      <c r="S158" s="330">
        <v>9</v>
      </c>
      <c r="T158" s="330">
        <v>600</v>
      </c>
      <c r="U158" s="330"/>
      <c r="V158" s="330"/>
      <c r="W158" s="331" t="s">
        <v>50</v>
      </c>
      <c r="X158" s="38" t="s">
        <v>51</v>
      </c>
      <c r="Y158" s="334" t="s">
        <v>52</v>
      </c>
      <c r="Z158" s="334" t="s">
        <v>52</v>
      </c>
      <c r="AA158" s="335">
        <v>0</v>
      </c>
      <c r="AC158" s="54" t="s">
        <v>48</v>
      </c>
      <c r="AD158" s="54"/>
      <c r="AE158" s="54"/>
      <c r="AF158" s="336" t="s">
        <v>1457</v>
      </c>
    </row>
    <row r="159" spans="1:37" ht="30">
      <c r="A159" s="7" t="s">
        <v>1519</v>
      </c>
      <c r="B159" s="8" t="s">
        <v>48</v>
      </c>
      <c r="C159" s="12" t="s">
        <v>1458</v>
      </c>
      <c r="D159" s="12"/>
      <c r="E159" s="12" t="str">
        <f t="shared" si="0"/>
        <v>192.168.5.200</v>
      </c>
      <c r="F159" s="10">
        <v>1</v>
      </c>
      <c r="G159" s="89" t="s">
        <v>1459</v>
      </c>
      <c r="H159" s="9" t="s">
        <v>48</v>
      </c>
      <c r="I159" s="8"/>
      <c r="J159" s="69" t="s">
        <v>479</v>
      </c>
      <c r="K159" s="12" t="s">
        <v>1460</v>
      </c>
      <c r="L159" s="12" t="s">
        <v>1461</v>
      </c>
      <c r="M159" s="12" t="s">
        <v>1462</v>
      </c>
      <c r="N159" s="12"/>
      <c r="O159" s="654" t="s">
        <v>40</v>
      </c>
      <c r="P159" s="654" t="s">
        <v>46</v>
      </c>
      <c r="Q159" s="743" t="s">
        <v>1429</v>
      </c>
      <c r="R159" s="12" t="s">
        <v>1463</v>
      </c>
      <c r="S159" s="12">
        <v>24</v>
      </c>
      <c r="T159" s="12">
        <f>4*300</f>
        <v>1200</v>
      </c>
      <c r="U159" s="12"/>
      <c r="V159" s="12"/>
      <c r="W159" s="10" t="s">
        <v>65</v>
      </c>
      <c r="X159" s="38" t="s">
        <v>51</v>
      </c>
      <c r="Y159" s="103" t="s">
        <v>52</v>
      </c>
      <c r="Z159" s="103" t="s">
        <v>52</v>
      </c>
      <c r="AA159" s="11">
        <v>0</v>
      </c>
      <c r="AC159" s="29" t="s">
        <v>40</v>
      </c>
      <c r="AD159" s="29" t="s">
        <v>134</v>
      </c>
      <c r="AE159" s="29"/>
      <c r="AF159" s="29" t="s">
        <v>46</v>
      </c>
    </row>
    <row r="160" spans="1:37" s="109" customFormat="1" ht="123" customHeight="1">
      <c r="A160" s="426" t="s">
        <v>1519</v>
      </c>
      <c r="B160" s="427" t="s">
        <v>48</v>
      </c>
      <c r="C160" s="66" t="s">
        <v>1465</v>
      </c>
      <c r="D160" s="66" t="s">
        <v>1466</v>
      </c>
      <c r="E160" s="66" t="str">
        <f t="shared" si="0"/>
        <v>140.27.120.200</v>
      </c>
      <c r="F160" s="69">
        <v>1</v>
      </c>
      <c r="G160" s="428" t="s">
        <v>1467</v>
      </c>
      <c r="H160" s="429" t="s">
        <v>48</v>
      </c>
      <c r="I160" s="427"/>
      <c r="J160" s="69" t="s">
        <v>479</v>
      </c>
      <c r="K160" s="66" t="s">
        <v>1468</v>
      </c>
      <c r="L160" s="66" t="s">
        <v>1469</v>
      </c>
      <c r="M160" s="66" t="s">
        <v>1470</v>
      </c>
      <c r="N160" s="66"/>
      <c r="O160" s="503" t="s">
        <v>46</v>
      </c>
      <c r="P160" s="503" t="s">
        <v>46</v>
      </c>
      <c r="Q160" s="66" t="s">
        <v>174</v>
      </c>
      <c r="R160" s="66" t="s">
        <v>1471</v>
      </c>
      <c r="S160" s="66">
        <v>384</v>
      </c>
      <c r="T160" s="66">
        <f>5*6656</f>
        <v>33280</v>
      </c>
      <c r="U160" s="66"/>
      <c r="V160" s="66"/>
      <c r="W160" s="69" t="s">
        <v>50</v>
      </c>
      <c r="X160" s="38" t="s">
        <v>51</v>
      </c>
      <c r="Y160" s="38" t="s">
        <v>52</v>
      </c>
      <c r="Z160" s="38" t="s">
        <v>52</v>
      </c>
      <c r="AA160" s="430">
        <v>5690</v>
      </c>
      <c r="AB160" s="109" t="s">
        <v>1472</v>
      </c>
      <c r="AC160" s="119" t="s">
        <v>48</v>
      </c>
      <c r="AD160" s="119"/>
      <c r="AE160" s="119"/>
      <c r="AF160" s="218" t="s">
        <v>1473</v>
      </c>
    </row>
    <row r="161" spans="1:32" s="561" customFormat="1" ht="108" customHeight="1">
      <c r="A161" s="581" t="s">
        <v>1519</v>
      </c>
      <c r="B161" s="582" t="s">
        <v>48</v>
      </c>
      <c r="C161" s="577" t="s">
        <v>1458</v>
      </c>
      <c r="D161" s="577"/>
      <c r="E161" s="577" t="str">
        <f t="shared" si="0"/>
        <v>140.27.120.165</v>
      </c>
      <c r="F161" s="578">
        <v>1</v>
      </c>
      <c r="G161" s="583" t="s">
        <v>1474</v>
      </c>
      <c r="H161" s="584" t="s">
        <v>48</v>
      </c>
      <c r="I161" s="582"/>
      <c r="J161" s="578" t="s">
        <v>479</v>
      </c>
      <c r="K161" s="577" t="s">
        <v>1705</v>
      </c>
      <c r="L161" s="579" t="s">
        <v>1706</v>
      </c>
      <c r="M161" s="579" t="s">
        <v>1707</v>
      </c>
      <c r="N161" s="579"/>
      <c r="O161" s="673" t="s">
        <v>46</v>
      </c>
      <c r="P161" s="673" t="s">
        <v>46</v>
      </c>
      <c r="Q161" s="579" t="s">
        <v>396</v>
      </c>
      <c r="R161" s="579" t="s">
        <v>1478</v>
      </c>
      <c r="S161" s="579">
        <v>96</v>
      </c>
      <c r="T161" s="579">
        <f>4*300</f>
        <v>1200</v>
      </c>
      <c r="U161" s="579"/>
      <c r="V161" s="579"/>
      <c r="W161" s="578" t="s">
        <v>819</v>
      </c>
      <c r="X161" s="580" t="s">
        <v>680</v>
      </c>
      <c r="Y161" s="580" t="s">
        <v>52</v>
      </c>
      <c r="Z161" s="580" t="s">
        <v>52</v>
      </c>
      <c r="AA161" s="585">
        <v>0</v>
      </c>
      <c r="AC161" s="586" t="s">
        <v>48</v>
      </c>
      <c r="AD161" s="586"/>
      <c r="AE161" s="586"/>
      <c r="AF161" s="587" t="s">
        <v>1479</v>
      </c>
    </row>
    <row r="162" spans="1:32" ht="112.5" customHeight="1">
      <c r="A162" s="7" t="s">
        <v>1519</v>
      </c>
      <c r="B162" s="8" t="s">
        <v>48</v>
      </c>
      <c r="C162" s="66" t="s">
        <v>1458</v>
      </c>
      <c r="D162" s="66"/>
      <c r="E162" s="66" t="str">
        <f t="shared" si="0"/>
        <v>140.27.120.164</v>
      </c>
      <c r="F162" s="10">
        <v>1</v>
      </c>
      <c r="G162" s="89" t="s">
        <v>1474</v>
      </c>
      <c r="H162" s="9" t="s">
        <v>48</v>
      </c>
      <c r="I162" s="8"/>
      <c r="J162" s="69" t="s">
        <v>479</v>
      </c>
      <c r="K162" s="66" t="s">
        <v>1708</v>
      </c>
      <c r="L162" s="67" t="s">
        <v>1475</v>
      </c>
      <c r="M162" s="68" t="s">
        <v>1476</v>
      </c>
      <c r="N162" s="67"/>
      <c r="O162" s="654" t="s">
        <v>40</v>
      </c>
      <c r="P162" s="654" t="s">
        <v>46</v>
      </c>
      <c r="Q162" s="67" t="s">
        <v>186</v>
      </c>
      <c r="R162" s="67" t="s">
        <v>1478</v>
      </c>
      <c r="S162" s="67">
        <v>96</v>
      </c>
      <c r="T162" s="67">
        <f>4*300</f>
        <v>1200</v>
      </c>
      <c r="U162" s="67"/>
      <c r="V162" s="67"/>
      <c r="W162" s="69" t="s">
        <v>86</v>
      </c>
      <c r="X162" s="38" t="s">
        <v>51</v>
      </c>
      <c r="Y162" s="103" t="s">
        <v>52</v>
      </c>
      <c r="Z162" s="103" t="s">
        <v>52</v>
      </c>
      <c r="AA162" s="11">
        <v>0</v>
      </c>
      <c r="AC162" s="29" t="s">
        <v>48</v>
      </c>
      <c r="AD162" s="29"/>
      <c r="AE162" s="29"/>
      <c r="AF162" s="32" t="s">
        <v>1479</v>
      </c>
    </row>
    <row r="163" spans="1:32" ht="30">
      <c r="A163" s="7" t="s">
        <v>1709</v>
      </c>
      <c r="B163" s="8" t="s">
        <v>48</v>
      </c>
      <c r="C163" s="70" t="s">
        <v>1710</v>
      </c>
      <c r="D163" s="70"/>
      <c r="E163" s="70" t="str">
        <f t="shared" si="0"/>
        <v>192.168.0.40</v>
      </c>
      <c r="F163" s="10">
        <v>1</v>
      </c>
      <c r="G163" s="89" t="s">
        <v>1711</v>
      </c>
      <c r="H163" s="9" t="s">
        <v>48</v>
      </c>
      <c r="I163" s="8"/>
      <c r="J163" s="69" t="s">
        <v>479</v>
      </c>
      <c r="K163" s="71" t="s">
        <v>1712</v>
      </c>
      <c r="L163" s="70" t="s">
        <v>1713</v>
      </c>
      <c r="M163" s="71" t="s">
        <v>1714</v>
      </c>
      <c r="N163" s="70" t="s">
        <v>1715</v>
      </c>
      <c r="O163" s="654" t="s">
        <v>46</v>
      </c>
      <c r="P163" s="654" t="s">
        <v>40</v>
      </c>
      <c r="Q163" s="71" t="s">
        <v>1716</v>
      </c>
      <c r="R163" s="71" t="s">
        <v>808</v>
      </c>
      <c r="S163" s="71">
        <v>16</v>
      </c>
      <c r="T163" s="90">
        <f>3*600</f>
        <v>1800</v>
      </c>
      <c r="U163" s="71">
        <v>8</v>
      </c>
      <c r="V163" s="71"/>
      <c r="W163" s="69" t="s">
        <v>50</v>
      </c>
      <c r="X163" s="38" t="s">
        <v>51</v>
      </c>
      <c r="Y163" s="103" t="s">
        <v>52</v>
      </c>
      <c r="Z163" s="103" t="s">
        <v>52</v>
      </c>
      <c r="AA163" s="11">
        <v>0</v>
      </c>
      <c r="AC163" s="29" t="s">
        <v>48</v>
      </c>
      <c r="AD163" s="29"/>
      <c r="AE163" s="29"/>
      <c r="AF163" s="32" t="s">
        <v>1717</v>
      </c>
    </row>
    <row r="167" spans="1:32">
      <c r="A167" t="s">
        <v>557</v>
      </c>
      <c r="F167" t="s">
        <v>558</v>
      </c>
      <c r="I167" t="s">
        <v>844</v>
      </c>
      <c r="N167" s="1609" t="s">
        <v>1718</v>
      </c>
      <c r="O167" s="1611">
        <f>COUNTIF(O7:O163,"S*")</f>
        <v>27</v>
      </c>
      <c r="P167" s="1611">
        <f>COUNTIF(P7:P163,"S*")</f>
        <v>101</v>
      </c>
      <c r="T167" s="1728" t="s">
        <v>556</v>
      </c>
      <c r="U167" s="1728"/>
      <c r="V167" s="818"/>
      <c r="AA167" t="s">
        <v>561</v>
      </c>
    </row>
    <row r="168" spans="1:32">
      <c r="A168">
        <f>F168+I168</f>
        <v>165</v>
      </c>
      <c r="F168">
        <f>SUM(F7:F163)</f>
        <v>25</v>
      </c>
      <c r="I168">
        <f>SUM(I7:I167)</f>
        <v>140</v>
      </c>
      <c r="N168" s="1609"/>
      <c r="O168" s="1611"/>
      <c r="P168" s="1611"/>
      <c r="T168" s="54">
        <f>SUM(T7:T163)</f>
        <v>99236.19</v>
      </c>
      <c r="U168" s="54" t="s">
        <v>560</v>
      </c>
      <c r="AA168">
        <f>SUM(AA7:AA163)</f>
        <v>5690</v>
      </c>
    </row>
    <row r="169" spans="1:32" ht="15" customHeight="1">
      <c r="N169" s="38" t="s">
        <v>1486</v>
      </c>
      <c r="O169" s="503">
        <f>COUNTIF(O41:O50,"s*")</f>
        <v>0</v>
      </c>
      <c r="P169" s="503">
        <f>COUNTIF(P41:P50,"s*")</f>
        <v>9</v>
      </c>
      <c r="T169" s="29">
        <f>(T168/1024)</f>
        <v>96.910341796875002</v>
      </c>
      <c r="U169" s="29" t="s">
        <v>563</v>
      </c>
    </row>
    <row r="170" spans="1:32" ht="15" customHeight="1">
      <c r="N170" s="38" t="s">
        <v>1488</v>
      </c>
      <c r="O170" s="503">
        <f>O167-O169</f>
        <v>27</v>
      </c>
      <c r="P170" s="503">
        <f>P167-P169</f>
        <v>92</v>
      </c>
    </row>
    <row r="172" spans="1:32" ht="15.75" customHeight="1">
      <c r="A172" s="1736" t="s">
        <v>565</v>
      </c>
      <c r="B172" s="1737"/>
      <c r="C172" s="1737"/>
      <c r="D172" s="1737"/>
      <c r="E172" s="1737"/>
      <c r="F172" s="1737"/>
      <c r="G172" s="1737"/>
      <c r="H172" s="1737"/>
      <c r="I172" s="1737"/>
      <c r="J172" s="1737"/>
      <c r="K172" s="1737"/>
      <c r="L172" s="1737"/>
      <c r="M172" s="18"/>
      <c r="N172" s="18"/>
      <c r="O172" s="35"/>
      <c r="P172" s="35"/>
    </row>
    <row r="173" spans="1:32" ht="15" customHeight="1">
      <c r="A173" s="1738" t="s">
        <v>567</v>
      </c>
      <c r="B173" s="1738"/>
      <c r="C173" s="1629" t="s">
        <v>568</v>
      </c>
      <c r="D173" s="1629"/>
      <c r="E173" s="1629"/>
      <c r="F173" s="1629"/>
      <c r="G173" s="1629"/>
      <c r="H173" s="19" t="s">
        <v>569</v>
      </c>
      <c r="I173" s="19" t="s">
        <v>19</v>
      </c>
      <c r="J173" s="23"/>
      <c r="K173" s="23" t="s">
        <v>570</v>
      </c>
      <c r="L173" s="19" t="s">
        <v>571</v>
      </c>
    </row>
    <row r="174" spans="1:32">
      <c r="A174" s="1725" t="s">
        <v>1490</v>
      </c>
      <c r="B174" s="1725"/>
      <c r="C174" s="1724" t="s">
        <v>1491</v>
      </c>
      <c r="D174" s="1724"/>
      <c r="E174" s="1724"/>
      <c r="F174" s="1724"/>
      <c r="G174" s="1724"/>
      <c r="H174" s="20" t="s">
        <v>1492</v>
      </c>
      <c r="I174" s="20" t="s">
        <v>1536</v>
      </c>
      <c r="J174" s="24"/>
      <c r="K174" s="24" t="s">
        <v>1493</v>
      </c>
      <c r="L174" s="20" t="s">
        <v>1494</v>
      </c>
    </row>
    <row r="175" spans="1:32">
      <c r="A175" s="1725" t="s">
        <v>1495</v>
      </c>
      <c r="B175" s="1725"/>
      <c r="C175" s="1725" t="s">
        <v>1496</v>
      </c>
      <c r="D175" s="1725"/>
      <c r="E175" s="1725"/>
      <c r="F175" s="1725"/>
      <c r="G175" s="1725"/>
      <c r="H175" s="21" t="s">
        <v>1497</v>
      </c>
      <c r="I175" s="21" t="s">
        <v>1536</v>
      </c>
      <c r="J175" s="25"/>
      <c r="K175" s="25" t="s">
        <v>1498</v>
      </c>
      <c r="L175" s="22" t="s">
        <v>46</v>
      </c>
    </row>
    <row r="176" spans="1:32">
      <c r="A176" s="1725" t="s">
        <v>1499</v>
      </c>
      <c r="B176" s="1725"/>
      <c r="C176" s="1725" t="s">
        <v>1496</v>
      </c>
      <c r="D176" s="1725"/>
      <c r="E176" s="1725"/>
      <c r="F176" s="1725"/>
      <c r="G176" s="1725"/>
      <c r="H176" s="21" t="s">
        <v>1500</v>
      </c>
      <c r="I176" s="21" t="s">
        <v>1536</v>
      </c>
      <c r="J176" s="25"/>
      <c r="K176" s="25" t="s">
        <v>1498</v>
      </c>
      <c r="L176" s="22" t="s">
        <v>46</v>
      </c>
    </row>
    <row r="177" spans="1:26">
      <c r="A177" s="1725" t="s">
        <v>1501</v>
      </c>
      <c r="B177" s="1725"/>
      <c r="C177" s="1725" t="s">
        <v>1502</v>
      </c>
      <c r="D177" s="1725"/>
      <c r="E177" s="1725"/>
      <c r="F177" s="1725"/>
      <c r="G177" s="1725"/>
      <c r="H177" s="21" t="s">
        <v>1503</v>
      </c>
      <c r="I177" s="21" t="s">
        <v>1536</v>
      </c>
      <c r="J177" s="25"/>
      <c r="K177" s="25" t="s">
        <v>1504</v>
      </c>
      <c r="L177" s="21" t="s">
        <v>1505</v>
      </c>
    </row>
    <row r="178" spans="1:26">
      <c r="A178" s="1725" t="s">
        <v>1490</v>
      </c>
      <c r="B178" s="1725"/>
      <c r="C178" s="1725" t="s">
        <v>1506</v>
      </c>
      <c r="D178" s="1725"/>
      <c r="E178" s="1725"/>
      <c r="F178" s="1725"/>
      <c r="G178" s="1725"/>
      <c r="H178" s="20" t="s">
        <v>1507</v>
      </c>
      <c r="I178" s="20" t="s">
        <v>1536</v>
      </c>
      <c r="J178" s="24"/>
      <c r="K178" s="24" t="s">
        <v>1493</v>
      </c>
      <c r="L178" s="20" t="s">
        <v>1494</v>
      </c>
    </row>
    <row r="179" spans="1:26" ht="29.25" customHeight="1">
      <c r="A179" s="1725" t="s">
        <v>1508</v>
      </c>
      <c r="B179" s="1725"/>
      <c r="C179" s="1724" t="s">
        <v>594</v>
      </c>
      <c r="D179" s="1724"/>
      <c r="E179" s="1724"/>
      <c r="F179" s="1724"/>
      <c r="G179" s="1724"/>
      <c r="H179" s="27" t="s">
        <v>1509</v>
      </c>
      <c r="I179" s="20" t="s">
        <v>1536</v>
      </c>
      <c r="J179" s="24"/>
      <c r="K179" s="24" t="s">
        <v>1510</v>
      </c>
      <c r="L179" s="20" t="s">
        <v>1494</v>
      </c>
    </row>
    <row r="180" spans="1:26" ht="29.25" customHeight="1">
      <c r="A180" s="1725" t="s">
        <v>1508</v>
      </c>
      <c r="B180" s="1725"/>
      <c r="C180" s="1724" t="s">
        <v>1511</v>
      </c>
      <c r="D180" s="1724"/>
      <c r="E180" s="1724"/>
      <c r="F180" s="1724"/>
      <c r="G180" s="1724"/>
      <c r="H180" s="27" t="s">
        <v>1512</v>
      </c>
      <c r="I180" s="20" t="s">
        <v>1536</v>
      </c>
      <c r="J180" s="24"/>
      <c r="K180" s="24"/>
      <c r="L180" s="20" t="s">
        <v>1494</v>
      </c>
    </row>
    <row r="181" spans="1:26" s="204" customFormat="1">
      <c r="A181" s="1735" t="s">
        <v>1513</v>
      </c>
      <c r="B181" s="1735"/>
      <c r="C181" s="1735" t="s">
        <v>1514</v>
      </c>
      <c r="D181" s="1735"/>
      <c r="E181" s="1735"/>
      <c r="F181" s="1735"/>
      <c r="G181" s="1735"/>
      <c r="H181" s="203"/>
      <c r="I181" s="206" t="s">
        <v>1536</v>
      </c>
      <c r="J181" s="207"/>
      <c r="K181" s="207" t="s">
        <v>1515</v>
      </c>
      <c r="L181" s="208" t="s">
        <v>1516</v>
      </c>
      <c r="O181" s="655"/>
      <c r="P181" s="655"/>
      <c r="W181" s="205"/>
      <c r="X181" s="563"/>
      <c r="Y181" s="205"/>
      <c r="Z181" s="205"/>
    </row>
  </sheetData>
  <autoFilter ref="A5:AF53" xr:uid="{00000000-0009-0000-0000-000003000000}"/>
  <mergeCells count="64">
    <mergeCell ref="I155:I157"/>
    <mergeCell ref="A181:B181"/>
    <mergeCell ref="C178:G178"/>
    <mergeCell ref="C179:G179"/>
    <mergeCell ref="C181:G181"/>
    <mergeCell ref="A172:L172"/>
    <mergeCell ref="C177:G177"/>
    <mergeCell ref="A173:B173"/>
    <mergeCell ref="A174:B174"/>
    <mergeCell ref="A175:B175"/>
    <mergeCell ref="A176:B176"/>
    <mergeCell ref="A177:B177"/>
    <mergeCell ref="C176:G176"/>
    <mergeCell ref="A179:B179"/>
    <mergeCell ref="D155:D156"/>
    <mergeCell ref="E155:E157"/>
    <mergeCell ref="C155:C156"/>
    <mergeCell ref="C174:G174"/>
    <mergeCell ref="A180:B180"/>
    <mergeCell ref="G155:G156"/>
    <mergeCell ref="T167:U167"/>
    <mergeCell ref="N167:N168"/>
    <mergeCell ref="O167:O168"/>
    <mergeCell ref="P167:P168"/>
    <mergeCell ref="C180:G180"/>
    <mergeCell ref="H155:H157"/>
    <mergeCell ref="A178:B178"/>
    <mergeCell ref="C173:G173"/>
    <mergeCell ref="C175:G175"/>
    <mergeCell ref="A155:A157"/>
    <mergeCell ref="B155:B157"/>
    <mergeCell ref="F155:F157"/>
    <mergeCell ref="AF7:AF9"/>
    <mergeCell ref="W7:W9"/>
    <mergeCell ref="AA7:AA9"/>
    <mergeCell ref="AC7:AC9"/>
    <mergeCell ref="Z7:Z9"/>
    <mergeCell ref="Y7:Y9"/>
    <mergeCell ref="AD7:AD9"/>
    <mergeCell ref="AE7:AE9"/>
    <mergeCell ref="AB155:AB157"/>
    <mergeCell ref="A2:AA3"/>
    <mergeCell ref="A7:A9"/>
    <mergeCell ref="I7:I9"/>
    <mergeCell ref="F7:F9"/>
    <mergeCell ref="B7:B9"/>
    <mergeCell ref="K7:K9"/>
    <mergeCell ref="J7:J9"/>
    <mergeCell ref="T7:T9"/>
    <mergeCell ref="U7:U9"/>
    <mergeCell ref="M7:M9"/>
    <mergeCell ref="Q7:Q9"/>
    <mergeCell ref="R7:R9"/>
    <mergeCell ref="L7:L9"/>
    <mergeCell ref="S7:S9"/>
    <mergeCell ref="X7:X9"/>
    <mergeCell ref="I10:I23"/>
    <mergeCell ref="A24:A39"/>
    <mergeCell ref="B24:B39"/>
    <mergeCell ref="F55:F58"/>
    <mergeCell ref="C55:C58"/>
    <mergeCell ref="B10:B23"/>
    <mergeCell ref="A10:A23"/>
    <mergeCell ref="F10:F11"/>
  </mergeCells>
  <conditionalFormatting sqref="W32 X32:Z37">
    <cfRule type="containsText" dxfId="86" priority="91" operator="containsText" text="DAR DE BAJA">
      <formula>NOT(ISERROR(SEARCH("DAR DE BAJA",W32)))</formula>
    </cfRule>
    <cfRule type="containsText" dxfId="85" priority="92" operator="containsText" text="BAJO">
      <formula>NOT(ISERROR(SEARCH("BAJO",W32)))</formula>
    </cfRule>
    <cfRule type="containsText" dxfId="84" priority="93" operator="containsText" text="MEDIO">
      <formula>NOT(ISERROR(SEARCH("MEDIO",W32)))</formula>
    </cfRule>
    <cfRule type="containsText" dxfId="83" priority="94" operator="containsText" text="ALTO">
      <formula>NOT(ISERROR(SEARCH("ALTO",W32)))</formula>
    </cfRule>
  </conditionalFormatting>
  <conditionalFormatting sqref="W33:W37 W63:X78 W124:W125 W40 Y40:Z40 Y122:Z122 W122:X123">
    <cfRule type="containsText" dxfId="82" priority="319" operator="containsText" text="DAR DE BAJA">
      <formula>NOT(ISERROR(SEARCH("DAR DE BAJA",W33)))</formula>
    </cfRule>
  </conditionalFormatting>
  <conditionalFormatting sqref="W37">
    <cfRule type="containsText" dxfId="81" priority="220" operator="containsText" text="BAJO">
      <formula>NOT(ISERROR(SEARCH("BAJO",W37)))</formula>
    </cfRule>
    <cfRule type="containsText" dxfId="80" priority="221" operator="containsText" text="MEDIO">
      <formula>NOT(ISERROR(SEARCH("MEDIO",W37)))</formula>
    </cfRule>
    <cfRule type="containsText" dxfId="79" priority="222" operator="containsText" text="ALTO">
      <formula>NOT(ISERROR(SEARCH("ALTO",W37)))</formula>
    </cfRule>
  </conditionalFormatting>
  <conditionalFormatting sqref="W38 Y38:Z38">
    <cfRule type="containsText" dxfId="78" priority="22" operator="containsText" text="BAJO">
      <formula>NOT(ISERROR(SEARCH("BAJO",W38)))</formula>
    </cfRule>
    <cfRule type="containsText" dxfId="77" priority="23" operator="containsText" text="MEDIO">
      <formula>NOT(ISERROR(SEARCH("MEDIO",W38)))</formula>
    </cfRule>
    <cfRule type="containsText" dxfId="76" priority="24" operator="containsText" text="ALTO">
      <formula>NOT(ISERROR(SEARCH("ALTO",W38)))</formula>
    </cfRule>
  </conditionalFormatting>
  <conditionalFormatting sqref="W126:W129 W130:X130">
    <cfRule type="containsText" dxfId="75" priority="83" operator="containsText" text="DAR DE BAJA">
      <formula>NOT(ISERROR(SEARCH("DAR DE BAJA",W126)))</formula>
    </cfRule>
    <cfRule type="containsText" dxfId="74" priority="84" operator="containsText" text="BAJO">
      <formula>NOT(ISERROR(SEARCH("BAJO",W126)))</formula>
    </cfRule>
    <cfRule type="containsText" dxfId="73" priority="85" operator="containsText" text="MEDIO">
      <formula>NOT(ISERROR(SEARCH("MEDIO",W126)))</formula>
    </cfRule>
    <cfRule type="containsText" dxfId="72" priority="86" operator="containsText" text="ALTO">
      <formula>NOT(ISERROR(SEARCH("ALTO",W126)))</formula>
    </cfRule>
  </conditionalFormatting>
  <conditionalFormatting sqref="W131">
    <cfRule type="containsText" dxfId="71" priority="66" operator="containsText" text="BAJO">
      <formula>NOT(ISERROR(SEARCH("BAJO",W131)))</formula>
    </cfRule>
    <cfRule type="containsText" dxfId="70" priority="67" operator="containsText" text="MEDIO">
      <formula>NOT(ISERROR(SEARCH("MEDIO",W131)))</formula>
    </cfRule>
    <cfRule type="containsText" dxfId="69" priority="68" operator="containsText" text="ALTO">
      <formula>NOT(ISERROR(SEARCH("ALTO",W131)))</formula>
    </cfRule>
  </conditionalFormatting>
  <conditionalFormatting sqref="W131:W145">
    <cfRule type="containsText" dxfId="68" priority="65" operator="containsText" text="DAR DE BAJA">
      <formula>NOT(ISERROR(SEARCH("DAR DE BAJA",W131)))</formula>
    </cfRule>
  </conditionalFormatting>
  <conditionalFormatting sqref="W7:Z31 W32 W78:X83 W124 W147:W153 Y147:Z153 W154:Z154 W155:W160 Y155:Z160">
    <cfRule type="containsText" dxfId="67" priority="87" operator="containsText" text="DAR DE BAJA">
      <formula>NOT(ISERROR(SEARCH("DAR DE BAJA",W7)))</formula>
    </cfRule>
  </conditionalFormatting>
  <conditionalFormatting sqref="W7:Z31 W32 W78:X83 W124 W132:X145 W147:Z154 W155:W160 Y155:Z160">
    <cfRule type="containsText" dxfId="66" priority="89" operator="containsText" text="MEDIO">
      <formula>NOT(ISERROR(SEARCH("MEDIO",W7)))</formula>
    </cfRule>
    <cfRule type="containsText" dxfId="65" priority="90" operator="containsText" text="ALTO">
      <formula>NOT(ISERROR(SEARCH("ALTO",W7)))</formula>
    </cfRule>
  </conditionalFormatting>
  <conditionalFormatting sqref="W7:Z31 W32 W78:X83 W124 W147:Z154 W155:W160 Y155:Z160 W132:X145">
    <cfRule type="containsText" dxfId="64" priority="88" operator="containsText" text="BAJO">
      <formula>NOT(ISERROR(SEARCH("BAJO",W7)))</formula>
    </cfRule>
  </conditionalFormatting>
  <conditionalFormatting sqref="W10:Z23 W84:Z92 W93 Y93:Z93 X93:X103 X107:X109 X111:X121 Y120:Z124 X124:X129 Y135:Z145 Y147:Z163">
    <cfRule type="containsText" dxfId="63" priority="321" operator="containsText" text="MEDIO">
      <formula>NOT(ISERROR(SEARCH("MEDIO",W10)))</formula>
    </cfRule>
    <cfRule type="containsText" dxfId="62" priority="322" operator="containsText" text="ALTO">
      <formula>NOT(ISERROR(SEARCH("ALTO",W10)))</formula>
    </cfRule>
  </conditionalFormatting>
  <conditionalFormatting sqref="W10:Z23 W84:Z104 W106:Z109 W111:Z118 Y123:Z145 X124:X129 Y147:Z163 X57:X78 W80:X80 X132:X145 W138:W139 W142 W147 X147:X153 W41:X50 Y42:Z54 W51 W52:X53 W54 W55:Z62 Y63:Z83">
    <cfRule type="containsText" dxfId="61" priority="323" operator="containsText" text="DAR DE BAJA">
      <formula>NOT(ISERROR(SEARCH("DAR DE BAJA",W10)))</formula>
    </cfRule>
  </conditionalFormatting>
  <conditionalFormatting sqref="W19:Z19 X20:Z22 W23:X23 W33:W37 W38:X39 Y39:Z40 W40 W41:X50 Y42:Z54 W51 W52:X53 W54 W55:Z55 W56:X78 Y56:Z83 W80:X80 W94:W95 Y94:Z103 W96:X103 W104:Z104 W106:Z109 W111:Z118 W120:Z124 W125 X125:X129 Y125:Z130 Y132:Z134 X132:X138 W138 W139:X139 X140:X145 W142 W147 X147:X153">
    <cfRule type="containsText" dxfId="60" priority="325" operator="containsText" text="MEDIO">
      <formula>NOT(ISERROR(SEARCH("MEDIO",W19)))</formula>
    </cfRule>
    <cfRule type="containsText" dxfId="59" priority="326" operator="containsText" text="ALTO">
      <formula>NOT(ISERROR(SEARCH("ALTO",W19)))</formula>
    </cfRule>
  </conditionalFormatting>
  <conditionalFormatting sqref="W19:Z19 X20:Z22 W23:X23 W41:X50 Y42:Z54 W51 W52:X53 W54 W55:Z55 W56:X78 Y56:Z83 W80:X80 W94:W95 Y94:Z103 W96:X103 W104:Z104 W106:Z109 W111:Z118 W120:Z124 X125:X129 Y125:Z130 Y132:Z134 X132:X138 W138 W139:X139 X140:X145 W142 W147 X147:X153 W33:W37 Y39:Z40 W40 W125 W38:X39">
    <cfRule type="containsText" dxfId="58" priority="324" operator="containsText" text="BAJO">
      <formula>NOT(ISERROR(SEARCH("BAJO",W19)))</formula>
    </cfRule>
  </conditionalFormatting>
  <conditionalFormatting sqref="W38:Z39">
    <cfRule type="containsText" dxfId="57" priority="20" operator="containsText" text="DAR DE BAJA">
      <formula>NOT(ISERROR(SEARCH("DAR DE BAJA",W38)))</formula>
    </cfRule>
  </conditionalFormatting>
  <conditionalFormatting sqref="W97:Z97">
    <cfRule type="containsText" dxfId="56" priority="215" operator="containsText" text="DAR DE BAJA">
      <formula>NOT(ISERROR(SEARCH("DAR DE BAJA",W97)))</formula>
    </cfRule>
    <cfRule type="containsText" dxfId="55" priority="216" operator="containsText" text="BAJO">
      <formula>NOT(ISERROR(SEARCH("BAJO",W97)))</formula>
    </cfRule>
    <cfRule type="containsText" dxfId="54" priority="217" operator="containsText" text="MEDIO">
      <formula>NOT(ISERROR(SEARCH("MEDIO",W97)))</formula>
    </cfRule>
    <cfRule type="containsText" dxfId="53" priority="218" operator="containsText" text="ALTO">
      <formula>NOT(ISERROR(SEARCH("ALTO",W97)))</formula>
    </cfRule>
  </conditionalFormatting>
  <conditionalFormatting sqref="W105:Z105">
    <cfRule type="containsText" dxfId="52" priority="13" operator="containsText" text="DAR DE BAJA">
      <formula>NOT(ISERROR(SEARCH("DAR DE BAJA",W105)))</formula>
    </cfRule>
    <cfRule type="containsText" dxfId="51" priority="14" operator="containsText" text="BAJO">
      <formula>NOT(ISERROR(SEARCH("BAJO",W105)))</formula>
    </cfRule>
    <cfRule type="containsText" dxfId="50" priority="15" operator="containsText" text="MEDIO">
      <formula>NOT(ISERROR(SEARCH("MEDIO",W105)))</formula>
    </cfRule>
    <cfRule type="containsText" dxfId="49" priority="16" operator="containsText" text="ALTO">
      <formula>NOT(ISERROR(SEARCH("ALTO",W105)))</formula>
    </cfRule>
  </conditionalFormatting>
  <conditionalFormatting sqref="W119:Z119">
    <cfRule type="containsText" dxfId="48" priority="6" operator="containsText" text="BAJO">
      <formula>NOT(ISERROR(SEARCH("BAJO",W119)))</formula>
    </cfRule>
    <cfRule type="containsText" dxfId="47" priority="7" operator="containsText" text="MEDIO">
      <formula>NOT(ISERROR(SEARCH("MEDIO",W119)))</formula>
    </cfRule>
    <cfRule type="containsText" dxfId="46" priority="8" operator="containsText" text="ALTO">
      <formula>NOT(ISERROR(SEARCH("ALTO",W119)))</formula>
    </cfRule>
  </conditionalFormatting>
  <conditionalFormatting sqref="W119:Z121">
    <cfRule type="containsText" dxfId="45" priority="5" operator="containsText" text="DAR DE BAJA">
      <formula>NOT(ISERROR(SEARCH("DAR DE BAJA",W119)))</formula>
    </cfRule>
  </conditionalFormatting>
  <conditionalFormatting sqref="W161:Z163">
    <cfRule type="containsText" dxfId="44" priority="32" operator="containsText" text="DAR DE BAJA">
      <formula>NOT(ISERROR(SEARCH("DAR DE BAJA",W161)))</formula>
    </cfRule>
    <cfRule type="containsText" dxfId="43" priority="33" operator="containsText" text="BAJO">
      <formula>NOT(ISERROR(SEARCH("BAJO",W161)))</formula>
    </cfRule>
    <cfRule type="containsText" dxfId="42" priority="34" operator="containsText" text="MEDIO">
      <formula>NOT(ISERROR(SEARCH("MEDIO",W161)))</formula>
    </cfRule>
    <cfRule type="containsText" dxfId="41" priority="35" operator="containsText" text="ALTO">
      <formula>NOT(ISERROR(SEARCH("ALTO",W161)))</formula>
    </cfRule>
  </conditionalFormatting>
  <conditionalFormatting sqref="X38">
    <cfRule type="containsText" dxfId="40" priority="17" operator="containsText" text="BAJO">
      <formula>NOT(ISERROR(SEARCH("BAJO",X38)))</formula>
    </cfRule>
    <cfRule type="containsText" dxfId="39" priority="18" operator="containsText" text="MEDIO">
      <formula>NOT(ISERROR(SEARCH("MEDIO",X38)))</formula>
    </cfRule>
    <cfRule type="containsText" dxfId="38" priority="19" operator="containsText" text="ALTO">
      <formula>NOT(ISERROR(SEARCH("ALTO",X38)))</formula>
    </cfRule>
  </conditionalFormatting>
  <conditionalFormatting sqref="X155:X158">
    <cfRule type="containsText" dxfId="37" priority="53" operator="containsText" text="DAR DE BAJA">
      <formula>NOT(ISERROR(SEARCH("DAR DE BAJA",X155)))</formula>
    </cfRule>
    <cfRule type="containsText" dxfId="36" priority="54" operator="containsText" text="BAJO">
      <formula>NOT(ISERROR(SEARCH("BAJO",X155)))</formula>
    </cfRule>
    <cfRule type="containsText" dxfId="35" priority="55" operator="containsText" text="MEDIO">
      <formula>NOT(ISERROR(SEARCH("MEDIO",X155)))</formula>
    </cfRule>
    <cfRule type="containsText" dxfId="34" priority="56" operator="containsText" text="ALTO">
      <formula>NOT(ISERROR(SEARCH("ALTO",X155)))</formula>
    </cfRule>
  </conditionalFormatting>
  <conditionalFormatting sqref="X155:X159">
    <cfRule type="containsText" dxfId="33" priority="47" operator="containsText" text="BAJO">
      <formula>NOT(ISERROR(SEARCH("BAJO",X155)))</formula>
    </cfRule>
    <cfRule type="containsText" dxfId="32" priority="48" operator="containsText" text="MEDIO">
      <formula>NOT(ISERROR(SEARCH("MEDIO",X155)))</formula>
    </cfRule>
    <cfRule type="containsText" dxfId="31" priority="49" operator="containsText" text="ALTO">
      <formula>NOT(ISERROR(SEARCH("ALTO",X155)))</formula>
    </cfRule>
  </conditionalFormatting>
  <conditionalFormatting sqref="X159">
    <cfRule type="containsText" dxfId="30" priority="46" operator="containsText" text="DAR DE BAJA">
      <formula>NOT(ISERROR(SEARCH("DAR DE BAJA",X159)))</formula>
    </cfRule>
  </conditionalFormatting>
  <conditionalFormatting sqref="X159:X160">
    <cfRule type="containsText" dxfId="29" priority="40" operator="containsText" text="BAJO">
      <formula>NOT(ISERROR(SEARCH("BAJO",X159)))</formula>
    </cfRule>
    <cfRule type="containsText" dxfId="28" priority="41" operator="containsText" text="MEDIO">
      <formula>NOT(ISERROR(SEARCH("MEDIO",X159)))</formula>
    </cfRule>
    <cfRule type="containsText" dxfId="27" priority="42" operator="containsText" text="ALTO">
      <formula>NOT(ISERROR(SEARCH("ALTO",X159)))</formula>
    </cfRule>
  </conditionalFormatting>
  <conditionalFormatting sqref="X160">
    <cfRule type="containsText" dxfId="26" priority="36" operator="containsText" text="BAJO">
      <formula>NOT(ISERROR(SEARCH("BAJO",X160)))</formula>
    </cfRule>
    <cfRule type="containsText" dxfId="25" priority="37" operator="containsText" text="MEDIO">
      <formula>NOT(ISERROR(SEARCH("MEDIO",X160)))</formula>
    </cfRule>
    <cfRule type="containsText" dxfId="24" priority="38" operator="containsText" text="ALTO">
      <formula>NOT(ISERROR(SEARCH("ALTO",X160)))</formula>
    </cfRule>
    <cfRule type="containsText" dxfId="23" priority="39" operator="containsText" text="DAR DE BAJA">
      <formula>NOT(ISERROR(SEARCH("DAR DE BAJA",X160)))</formula>
    </cfRule>
  </conditionalFormatting>
  <conditionalFormatting sqref="X162:X163">
    <cfRule type="containsText" dxfId="22" priority="29" operator="containsText" text="BAJO">
      <formula>NOT(ISERROR(SEARCH("BAJO",X162)))</formula>
    </cfRule>
    <cfRule type="containsText" dxfId="21" priority="30" operator="containsText" text="MEDIO">
      <formula>NOT(ISERROR(SEARCH("MEDIO",X162)))</formula>
    </cfRule>
    <cfRule type="containsText" dxfId="20" priority="31" operator="containsText" text="ALTO">
      <formula>NOT(ISERROR(SEARCH("ALTO",X162)))</formula>
    </cfRule>
  </conditionalFormatting>
  <conditionalFormatting sqref="X131:Z131">
    <cfRule type="containsText" dxfId="19" priority="61" operator="containsText" text="DAR DE BAJA">
      <formula>NOT(ISERROR(SEARCH("DAR DE BAJA",X131)))</formula>
    </cfRule>
    <cfRule type="containsText" dxfId="18" priority="62" operator="containsText" text="BAJO">
      <formula>NOT(ISERROR(SEARCH("BAJO",X131)))</formula>
    </cfRule>
    <cfRule type="containsText" dxfId="17" priority="63" operator="containsText" text="MEDIO">
      <formula>NOT(ISERROR(SEARCH("MEDIO",X131)))</formula>
    </cfRule>
    <cfRule type="containsText" dxfId="16" priority="64" operator="containsText" text="ALTO">
      <formula>NOT(ISERROR(SEARCH("ALTO",X131)))</formula>
    </cfRule>
  </conditionalFormatting>
  <conditionalFormatting sqref="Y38:Z38 W37:W38">
    <cfRule type="containsText" dxfId="15" priority="28" operator="containsText" text="DAR DE BAJA">
      <formula>NOT(ISERROR(SEARCH("DAR DE BAJA",W37)))</formula>
    </cfRule>
  </conditionalFormatting>
  <conditionalFormatting sqref="Y38:Z38">
    <cfRule type="containsText" dxfId="14" priority="25" operator="containsText" text="BAJO">
      <formula>NOT(ISERROR(SEARCH("BAJO",Y38)))</formula>
    </cfRule>
    <cfRule type="containsText" dxfId="13" priority="26" operator="containsText" text="MEDIO">
      <formula>NOT(ISERROR(SEARCH("MEDIO",Y38)))</formula>
    </cfRule>
    <cfRule type="containsText" dxfId="12" priority="27" operator="containsText" text="ALTO">
      <formula>NOT(ISERROR(SEARCH("ALTO",Y38)))</formula>
    </cfRule>
  </conditionalFormatting>
  <conditionalFormatting sqref="Y117:Z119">
    <cfRule type="containsText" dxfId="11" priority="1" operator="containsText" text="DAR DE BAJA">
      <formula>NOT(ISERROR(SEARCH("DAR DE BAJA",Y117)))</formula>
    </cfRule>
    <cfRule type="containsText" dxfId="10" priority="2" operator="containsText" text="BAJO">
      <formula>NOT(ISERROR(SEARCH("BAJO",Y117)))</formula>
    </cfRule>
    <cfRule type="containsText" dxfId="9" priority="3" operator="containsText" text="MEDIO">
      <formula>NOT(ISERROR(SEARCH("MEDIO",Y117)))</formula>
    </cfRule>
    <cfRule type="containsText" dxfId="8" priority="4" operator="containsText" text="ALTO">
      <formula>NOT(ISERROR(SEARCH("ALTO",Y117)))</formula>
    </cfRule>
  </conditionalFormatting>
  <conditionalFormatting sqref="Y120:Z124 X93:X103 W10:Z23 Y147:Z163 Y135:Z145 X111:X121 W84:Z92 W93 Y93:Z93 X107:X109 X124:X129">
    <cfRule type="containsText" dxfId="7" priority="320" operator="containsText" text="BAJO">
      <formula>NOT(ISERROR(SEARCH("BAJO",W10)))</formula>
    </cfRule>
  </conditionalFormatting>
  <conditionalFormatting sqref="Y125:Z125">
    <cfRule type="containsText" dxfId="6" priority="76" operator="containsText" text="BAJO">
      <formula>NOT(ISERROR(SEARCH("BAJO",Y125)))</formula>
    </cfRule>
    <cfRule type="containsText" dxfId="5" priority="77" operator="containsText" text="MEDIO">
      <formula>NOT(ISERROR(SEARCH("MEDIO",Y125)))</formula>
    </cfRule>
    <cfRule type="containsText" dxfId="4" priority="78" operator="containsText" text="ALTO">
      <formula>NOT(ISERROR(SEARCH("ALTO",Y125)))</formula>
    </cfRule>
  </conditionalFormatting>
  <conditionalFormatting sqref="Y126:Z145">
    <cfRule type="containsText" dxfId="3" priority="80" operator="containsText" text="BAJO">
      <formula>NOT(ISERROR(SEARCH("BAJO",Y126)))</formula>
    </cfRule>
    <cfRule type="containsText" dxfId="2" priority="81" operator="containsText" text="MEDIO">
      <formula>NOT(ISERROR(SEARCH("MEDIO",Y126)))</formula>
    </cfRule>
    <cfRule type="containsText" dxfId="1" priority="82" operator="containsText" text="ALTO">
      <formula>NOT(ISERROR(SEARCH("ALTO",Y126)))</formula>
    </cfRule>
  </conditionalFormatting>
  <conditionalFormatting sqref="Y134:Z145">
    <cfRule type="containsText" dxfId="0" priority="79" operator="containsText" text="DAR DE BAJA">
      <formula>NOT(ISERROR(SEARCH("DAR DE BAJA",Y134)))</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V46"/>
  <sheetViews>
    <sheetView topLeftCell="I1" workbookViewId="0">
      <selection activeCell="T30" sqref="T30"/>
    </sheetView>
  </sheetViews>
  <sheetFormatPr defaultColWidth="8.85546875" defaultRowHeight="15" customHeight="1"/>
  <cols>
    <col min="2" max="2" width="23.42578125" customWidth="1"/>
    <col min="3" max="3" width="22.140625" customWidth="1"/>
    <col min="4" max="4" width="45.42578125" customWidth="1"/>
    <col min="5" max="5" width="31.42578125" customWidth="1"/>
    <col min="6" max="6" width="23" customWidth="1"/>
    <col min="7" max="7" width="13.5703125" style="31" customWidth="1"/>
    <col min="8" max="8" width="12.85546875" style="31" customWidth="1"/>
    <col min="9" max="9" width="9.5703125" bestFit="1" customWidth="1"/>
    <col min="10" max="10" width="3.42578125" customWidth="1"/>
    <col min="11" max="11" width="4.140625" customWidth="1"/>
    <col min="13" max="13" width="22.140625" customWidth="1"/>
    <col min="14" max="14" width="30.42578125" customWidth="1"/>
    <col min="15" max="15" width="23.5703125" customWidth="1"/>
    <col min="16" max="16" width="15.5703125" customWidth="1"/>
    <col min="17" max="18" width="12.42578125" style="31" customWidth="1"/>
    <col min="19" max="19" width="47" customWidth="1"/>
    <col min="20" max="20" width="40.85546875" bestFit="1" customWidth="1"/>
    <col min="22" max="22" width="22.85546875" bestFit="1" customWidth="1"/>
  </cols>
  <sheetData>
    <row r="3" spans="2:22">
      <c r="B3" s="1728" t="s">
        <v>1719</v>
      </c>
      <c r="C3" s="1728"/>
      <c r="D3" s="1728"/>
      <c r="E3" s="42" t="s">
        <v>1720</v>
      </c>
      <c r="F3" s="42" t="s">
        <v>1721</v>
      </c>
      <c r="G3" s="519" t="s">
        <v>1722</v>
      </c>
      <c r="H3" s="519" t="s">
        <v>1723</v>
      </c>
      <c r="L3" s="1728" t="s">
        <v>1719</v>
      </c>
      <c r="M3" s="1728"/>
      <c r="N3" s="1728"/>
      <c r="O3" s="42" t="s">
        <v>1720</v>
      </c>
      <c r="P3" s="42" t="s">
        <v>1721</v>
      </c>
      <c r="Q3" s="519" t="s">
        <v>1722</v>
      </c>
      <c r="R3" s="602" t="s">
        <v>1723</v>
      </c>
      <c r="S3" s="520" t="s">
        <v>571</v>
      </c>
    </row>
    <row r="4" spans="2:22">
      <c r="B4" s="1728" t="s">
        <v>1724</v>
      </c>
      <c r="C4" s="1728"/>
      <c r="D4" s="1728"/>
      <c r="E4" s="49" t="s">
        <v>1725</v>
      </c>
      <c r="F4" s="285">
        <v>4</v>
      </c>
      <c r="G4" s="173"/>
      <c r="L4" s="1753" t="s">
        <v>1726</v>
      </c>
      <c r="M4" s="1753"/>
      <c r="N4" s="1753"/>
      <c r="O4" s="49" t="s">
        <v>1727</v>
      </c>
      <c r="P4" s="43">
        <v>3</v>
      </c>
      <c r="Q4" s="43" t="s">
        <v>1728</v>
      </c>
      <c r="R4" s="603">
        <v>45744</v>
      </c>
      <c r="S4" s="519" t="s">
        <v>1729</v>
      </c>
    </row>
    <row r="5" spans="2:22">
      <c r="B5" s="46" t="s">
        <v>1730</v>
      </c>
      <c r="C5" s="46" t="s">
        <v>990</v>
      </c>
      <c r="D5" s="46" t="s">
        <v>1731</v>
      </c>
      <c r="E5" s="1754" t="s">
        <v>1732</v>
      </c>
      <c r="F5" s="31"/>
      <c r="G5" s="31">
        <v>11025116</v>
      </c>
      <c r="H5" s="601">
        <v>45481</v>
      </c>
      <c r="L5" s="29" t="s">
        <v>856</v>
      </c>
      <c r="M5" s="29" t="s">
        <v>1733</v>
      </c>
      <c r="N5" s="29" t="s">
        <v>1734</v>
      </c>
      <c r="Q5" s="110"/>
      <c r="R5" s="601"/>
      <c r="S5" s="31"/>
    </row>
    <row r="6" spans="2:22">
      <c r="B6" s="46" t="s">
        <v>1730</v>
      </c>
      <c r="C6" s="46" t="s">
        <v>1735</v>
      </c>
      <c r="D6" s="46" t="s">
        <v>1731</v>
      </c>
      <c r="E6" s="1755"/>
      <c r="F6" s="31"/>
      <c r="G6" s="31">
        <v>11025116</v>
      </c>
      <c r="H6" s="601">
        <v>45481</v>
      </c>
      <c r="L6" s="29" t="s">
        <v>856</v>
      </c>
      <c r="M6" s="29" t="s">
        <v>1736</v>
      </c>
      <c r="N6" s="29" t="s">
        <v>1734</v>
      </c>
      <c r="S6" s="31"/>
    </row>
    <row r="7" spans="2:22">
      <c r="B7" s="46" t="s">
        <v>1730</v>
      </c>
      <c r="C7" s="46" t="s">
        <v>1008</v>
      </c>
      <c r="D7" s="46" t="s">
        <v>1731</v>
      </c>
      <c r="E7" s="1755"/>
      <c r="F7" s="31"/>
      <c r="G7" s="31">
        <v>16832113</v>
      </c>
      <c r="H7" s="1423">
        <v>45500</v>
      </c>
      <c r="L7" s="29" t="s">
        <v>856</v>
      </c>
      <c r="M7" s="29" t="s">
        <v>1737</v>
      </c>
      <c r="N7" s="29" t="s">
        <v>1734</v>
      </c>
      <c r="R7" s="601"/>
      <c r="S7" s="31"/>
    </row>
    <row r="8" spans="2:22">
      <c r="B8" s="46" t="s">
        <v>1730</v>
      </c>
      <c r="C8" s="46" t="s">
        <v>1015</v>
      </c>
      <c r="D8" s="46" t="s">
        <v>1731</v>
      </c>
      <c r="E8" s="1756"/>
      <c r="F8" s="31"/>
      <c r="G8" s="31">
        <v>16832113</v>
      </c>
      <c r="H8" s="1423">
        <v>45500</v>
      </c>
      <c r="L8" s="1809" t="s">
        <v>1738</v>
      </c>
      <c r="M8" s="1810"/>
      <c r="N8" s="1811"/>
      <c r="O8" s="287" t="s">
        <v>1739</v>
      </c>
      <c r="P8" s="267">
        <v>2</v>
      </c>
      <c r="Q8" s="276" t="s">
        <v>1740</v>
      </c>
      <c r="R8" s="604">
        <v>45489</v>
      </c>
      <c r="S8" s="519" t="s">
        <v>1741</v>
      </c>
    </row>
    <row r="9" spans="2:22">
      <c r="B9" s="1728" t="s">
        <v>1742</v>
      </c>
      <c r="C9" s="1728"/>
      <c r="D9" s="1728"/>
      <c r="E9" s="42" t="s">
        <v>1725</v>
      </c>
      <c r="F9" s="286">
        <v>4</v>
      </c>
      <c r="G9" s="173"/>
      <c r="L9" s="275" t="s">
        <v>856</v>
      </c>
      <c r="M9" s="288" t="s">
        <v>1743</v>
      </c>
      <c r="N9" s="289" t="s">
        <v>1734</v>
      </c>
      <c r="O9" s="18" t="s">
        <v>62</v>
      </c>
      <c r="P9" s="18"/>
    </row>
    <row r="10" spans="2:22">
      <c r="B10" s="46" t="s">
        <v>1744</v>
      </c>
      <c r="C10" s="46" t="s">
        <v>38</v>
      </c>
      <c r="D10" s="46" t="s">
        <v>1745</v>
      </c>
      <c r="E10" s="1754" t="s">
        <v>1732</v>
      </c>
      <c r="F10" s="31"/>
      <c r="G10" s="31">
        <v>16832113</v>
      </c>
      <c r="H10" s="1423">
        <v>45500</v>
      </c>
      <c r="L10" s="275" t="s">
        <v>856</v>
      </c>
      <c r="M10" s="288" t="s">
        <v>1746</v>
      </c>
      <c r="N10" s="289" t="s">
        <v>1734</v>
      </c>
      <c r="O10" s="18" t="s">
        <v>62</v>
      </c>
      <c r="P10" s="18"/>
    </row>
    <row r="11" spans="2:22">
      <c r="B11" s="46" t="s">
        <v>1744</v>
      </c>
      <c r="C11" s="46" t="s">
        <v>58</v>
      </c>
      <c r="D11" s="46" t="s">
        <v>1745</v>
      </c>
      <c r="E11" s="1755"/>
      <c r="F11" s="31"/>
      <c r="G11" s="31">
        <v>16832113</v>
      </c>
      <c r="H11" s="601">
        <v>45516</v>
      </c>
    </row>
    <row r="12" spans="2:22">
      <c r="B12" s="46" t="s">
        <v>1744</v>
      </c>
      <c r="C12" s="46" t="s">
        <v>70</v>
      </c>
      <c r="D12" s="46" t="s">
        <v>1745</v>
      </c>
      <c r="E12" s="1755"/>
      <c r="F12" s="31"/>
      <c r="G12" s="31">
        <v>17020451</v>
      </c>
      <c r="H12" s="601">
        <v>45744</v>
      </c>
      <c r="T12" s="1743" t="s">
        <v>1747</v>
      </c>
      <c r="U12" s="1744"/>
      <c r="V12" s="1520" t="s">
        <v>1748</v>
      </c>
    </row>
    <row r="13" spans="2:22">
      <c r="B13" s="46" t="s">
        <v>1744</v>
      </c>
      <c r="C13" s="46" t="s">
        <v>76</v>
      </c>
      <c r="D13" s="46" t="s">
        <v>1745</v>
      </c>
      <c r="E13" s="1756"/>
      <c r="F13" s="31"/>
      <c r="G13" s="31">
        <v>17020451</v>
      </c>
      <c r="H13" s="601">
        <v>45744</v>
      </c>
      <c r="T13" s="29" t="s">
        <v>1749</v>
      </c>
      <c r="U13" s="29">
        <v>4</v>
      </c>
      <c r="V13" s="54"/>
    </row>
    <row r="14" spans="2:22" ht="14.45" customHeight="1">
      <c r="B14" s="1728" t="s">
        <v>1750</v>
      </c>
      <c r="C14" s="1728"/>
      <c r="D14" s="1767"/>
      <c r="E14" s="41" t="s">
        <v>1751</v>
      </c>
      <c r="F14" s="38">
        <v>2</v>
      </c>
      <c r="L14" s="1747" t="s">
        <v>1752</v>
      </c>
      <c r="M14" s="1748"/>
      <c r="N14" s="1748"/>
      <c r="O14" s="1749"/>
      <c r="P14" s="1746">
        <f>P4</f>
        <v>3</v>
      </c>
      <c r="T14" s="29" t="s">
        <v>1753</v>
      </c>
      <c r="U14" s="29">
        <v>2</v>
      </c>
      <c r="V14" s="29" t="s">
        <v>1754</v>
      </c>
    </row>
    <row r="15" spans="2:22" ht="14.45" customHeight="1">
      <c r="B15" s="47" t="s">
        <v>856</v>
      </c>
      <c r="C15" s="47" t="s">
        <v>1375</v>
      </c>
      <c r="D15" s="47" t="s">
        <v>1612</v>
      </c>
      <c r="E15" s="30" t="s">
        <v>1755</v>
      </c>
      <c r="F15" s="31"/>
      <c r="G15" s="31" t="s">
        <v>46</v>
      </c>
      <c r="H15" s="31" t="s">
        <v>46</v>
      </c>
      <c r="L15" s="1750"/>
      <c r="M15" s="1751"/>
      <c r="N15" s="1751"/>
      <c r="O15" s="1752"/>
      <c r="P15" s="1746"/>
      <c r="T15" s="119" t="s">
        <v>1756</v>
      </c>
      <c r="U15" s="119">
        <v>1</v>
      </c>
      <c r="V15" s="119"/>
    </row>
    <row r="16" spans="2:22" ht="14.45" customHeight="1">
      <c r="B16" s="517" t="s">
        <v>1458</v>
      </c>
      <c r="C16" s="517" t="s">
        <v>1707</v>
      </c>
      <c r="D16" s="517" t="s">
        <v>1705</v>
      </c>
      <c r="E16" s="598" t="s">
        <v>680</v>
      </c>
      <c r="F16" s="31"/>
      <c r="G16" s="31" t="s">
        <v>46</v>
      </c>
      <c r="H16" s="31" t="s">
        <v>46</v>
      </c>
      <c r="L16" s="1747" t="s">
        <v>1757</v>
      </c>
      <c r="M16" s="1748"/>
      <c r="N16" s="1748"/>
      <c r="O16" s="1749"/>
      <c r="P16" s="1746">
        <f>P8</f>
        <v>2</v>
      </c>
      <c r="T16" s="31"/>
      <c r="U16" s="31"/>
    </row>
    <row r="17" spans="2:22" ht="14.45" customHeight="1">
      <c r="B17" s="48" t="s">
        <v>1458</v>
      </c>
      <c r="C17" s="48" t="s">
        <v>1476</v>
      </c>
      <c r="D17" s="48" t="s">
        <v>1708</v>
      </c>
      <c r="E17" s="30" t="s">
        <v>1758</v>
      </c>
      <c r="F17" s="35" t="s">
        <v>1759</v>
      </c>
      <c r="G17" s="31">
        <v>14254849</v>
      </c>
      <c r="H17" s="601">
        <v>45498</v>
      </c>
      <c r="L17" s="1750"/>
      <c r="M17" s="1751"/>
      <c r="N17" s="1751"/>
      <c r="O17" s="1752"/>
      <c r="P17" s="1746"/>
    </row>
    <row r="18" spans="2:22">
      <c r="B18" s="1728" t="s">
        <v>1760</v>
      </c>
      <c r="C18" s="1728"/>
      <c r="D18" s="1728"/>
      <c r="E18" s="41" t="s">
        <v>1751</v>
      </c>
      <c r="F18" s="38">
        <v>8</v>
      </c>
      <c r="T18" s="1745" t="s">
        <v>1761</v>
      </c>
      <c r="U18" s="1745"/>
      <c r="V18" s="1520" t="s">
        <v>1748</v>
      </c>
    </row>
    <row r="19" spans="2:22">
      <c r="B19" s="47" t="s">
        <v>1762</v>
      </c>
      <c r="C19" s="47" t="s">
        <v>714</v>
      </c>
      <c r="D19" s="47" t="s">
        <v>1763</v>
      </c>
      <c r="E19" s="1759" t="s">
        <v>1764</v>
      </c>
      <c r="F19" s="31"/>
      <c r="T19" s="1519" t="s">
        <v>1765</v>
      </c>
      <c r="U19" s="1519">
        <v>1</v>
      </c>
      <c r="V19" s="29" t="s">
        <v>680</v>
      </c>
    </row>
    <row r="20" spans="2:22">
      <c r="B20" s="47" t="s">
        <v>1762</v>
      </c>
      <c r="C20" s="47" t="s">
        <v>715</v>
      </c>
      <c r="D20" s="47" t="s">
        <v>1766</v>
      </c>
      <c r="E20" s="1758"/>
      <c r="N20" t="s">
        <v>1725</v>
      </c>
      <c r="O20">
        <v>9</v>
      </c>
      <c r="T20" s="1519" t="s">
        <v>1767</v>
      </c>
      <c r="U20" s="1519">
        <v>1</v>
      </c>
      <c r="V20" s="119"/>
    </row>
    <row r="21" spans="2:22">
      <c r="D21" s="47" t="s">
        <v>1768</v>
      </c>
      <c r="E21" s="1758"/>
      <c r="N21" t="s">
        <v>1769</v>
      </c>
      <c r="O21">
        <v>7</v>
      </c>
      <c r="T21" s="1519" t="s">
        <v>1770</v>
      </c>
      <c r="U21" s="1519">
        <v>1</v>
      </c>
      <c r="V21" s="29"/>
    </row>
    <row r="22" spans="2:22">
      <c r="D22" s="47" t="s">
        <v>1771</v>
      </c>
      <c r="E22" s="1760"/>
      <c r="T22" s="1518" t="s">
        <v>1772</v>
      </c>
      <c r="U22" s="1518">
        <v>1</v>
      </c>
      <c r="V22" s="29"/>
    </row>
    <row r="23" spans="2:22">
      <c r="B23" s="1728" t="s">
        <v>1773</v>
      </c>
      <c r="C23" s="1728"/>
      <c r="D23" s="1728"/>
      <c r="E23" s="45" t="s">
        <v>1725</v>
      </c>
      <c r="F23" s="38">
        <v>3</v>
      </c>
      <c r="T23" s="1518" t="s">
        <v>1774</v>
      </c>
      <c r="U23" s="1519">
        <v>1</v>
      </c>
      <c r="V23" s="29"/>
    </row>
    <row r="24" spans="2:22">
      <c r="B24" s="47" t="s">
        <v>1775</v>
      </c>
      <c r="C24" s="47" t="s">
        <v>817</v>
      </c>
      <c r="D24" s="46" t="s">
        <v>1776</v>
      </c>
      <c r="E24" s="30" t="s">
        <v>1764</v>
      </c>
      <c r="G24" s="31" t="s">
        <v>46</v>
      </c>
      <c r="H24" s="31" t="s">
        <v>46</v>
      </c>
      <c r="T24" s="1521" t="s">
        <v>1777</v>
      </c>
      <c r="U24" s="29">
        <v>1</v>
      </c>
      <c r="V24" s="29" t="s">
        <v>680</v>
      </c>
    </row>
    <row r="25" spans="2:22">
      <c r="B25" s="47" t="s">
        <v>1778</v>
      </c>
      <c r="C25" s="47" t="s">
        <v>1779</v>
      </c>
      <c r="D25" s="46" t="s">
        <v>1780</v>
      </c>
      <c r="E25" s="1758" t="s">
        <v>1755</v>
      </c>
      <c r="G25" s="31">
        <v>16832113</v>
      </c>
      <c r="H25" s="601">
        <v>45517</v>
      </c>
      <c r="T25" s="29" t="s">
        <v>1781</v>
      </c>
      <c r="U25" s="29">
        <v>1</v>
      </c>
      <c r="V25" s="29"/>
    </row>
    <row r="26" spans="2:22">
      <c r="B26" s="47" t="s">
        <v>1778</v>
      </c>
      <c r="C26" s="47" t="s">
        <v>1782</v>
      </c>
      <c r="D26" s="46" t="s">
        <v>1780</v>
      </c>
      <c r="E26" s="1758"/>
      <c r="G26" s="31">
        <v>16832113</v>
      </c>
      <c r="H26" s="601">
        <v>45517</v>
      </c>
      <c r="T26" s="29" t="s">
        <v>1783</v>
      </c>
      <c r="U26" s="29">
        <v>1</v>
      </c>
      <c r="V26" s="29"/>
    </row>
    <row r="27" spans="2:22">
      <c r="B27" s="47" t="s">
        <v>1778</v>
      </c>
      <c r="C27" s="47" t="s">
        <v>1784</v>
      </c>
      <c r="D27" s="46" t="s">
        <v>1780</v>
      </c>
      <c r="E27" s="1758"/>
      <c r="G27" s="31">
        <v>16832113</v>
      </c>
      <c r="H27" s="601">
        <v>45517</v>
      </c>
      <c r="T27" s="54" t="s">
        <v>1785</v>
      </c>
      <c r="U27" s="54">
        <v>1</v>
      </c>
      <c r="V27" s="54"/>
    </row>
    <row r="28" spans="2:22" s="109" customFormat="1" ht="33" customHeight="1">
      <c r="B28" s="521" t="s">
        <v>1775</v>
      </c>
      <c r="C28" s="521" t="s">
        <v>796</v>
      </c>
      <c r="D28" s="522" t="s">
        <v>1786</v>
      </c>
      <c r="E28" s="598" t="s">
        <v>680</v>
      </c>
      <c r="G28" s="31" t="s">
        <v>46</v>
      </c>
      <c r="H28" s="31" t="s">
        <v>46</v>
      </c>
    </row>
    <row r="29" spans="2:22">
      <c r="B29" s="1728" t="s">
        <v>1787</v>
      </c>
      <c r="C29" s="1728"/>
      <c r="D29" s="1767"/>
      <c r="E29" s="41" t="s">
        <v>1751</v>
      </c>
      <c r="F29" s="38">
        <v>4</v>
      </c>
    </row>
    <row r="30" spans="2:22">
      <c r="B30" s="48" t="s">
        <v>1775</v>
      </c>
      <c r="C30" s="48" t="s">
        <v>203</v>
      </c>
      <c r="D30" s="599" t="s">
        <v>1772</v>
      </c>
      <c r="E30" s="50"/>
      <c r="F30" s="35" t="s">
        <v>1759</v>
      </c>
      <c r="G30" s="35">
        <v>14254849</v>
      </c>
      <c r="H30" s="1345">
        <v>45498</v>
      </c>
    </row>
    <row r="31" spans="2:22">
      <c r="B31" s="47" t="s">
        <v>503</v>
      </c>
      <c r="C31" s="47" t="s">
        <v>507</v>
      </c>
      <c r="D31" s="46" t="s">
        <v>1774</v>
      </c>
      <c r="E31" s="50"/>
      <c r="F31" s="35" t="s">
        <v>1759</v>
      </c>
      <c r="G31" s="35">
        <v>14254849</v>
      </c>
      <c r="H31" s="1345">
        <v>45498</v>
      </c>
    </row>
    <row r="32" spans="2:22">
      <c r="B32" s="47" t="s">
        <v>829</v>
      </c>
      <c r="C32" s="47" t="s">
        <v>833</v>
      </c>
      <c r="D32" s="46" t="s">
        <v>1788</v>
      </c>
      <c r="E32" s="50"/>
      <c r="F32" s="35" t="s">
        <v>1789</v>
      </c>
      <c r="G32" s="35"/>
      <c r="H32" s="1345"/>
    </row>
    <row r="33" spans="1:7" ht="16.5" customHeight="1">
      <c r="B33" s="1768" t="s">
        <v>1790</v>
      </c>
      <c r="C33" s="1679"/>
      <c r="D33" s="1679"/>
      <c r="E33" s="1749"/>
      <c r="F33" s="1746">
        <f>F4+F9+F23</f>
        <v>11</v>
      </c>
    </row>
    <row r="34" spans="1:7">
      <c r="B34" s="1750"/>
      <c r="C34" s="1751"/>
      <c r="D34" s="1751"/>
      <c r="E34" s="1752"/>
      <c r="F34" s="1746"/>
    </row>
    <row r="35" spans="1:7" ht="23.25" customHeight="1">
      <c r="B35" s="1761" t="s">
        <v>1791</v>
      </c>
      <c r="C35" s="1762"/>
      <c r="D35" s="1762"/>
      <c r="E35" s="1763"/>
      <c r="F35" s="1746">
        <f>F14+F18+F29</f>
        <v>14</v>
      </c>
      <c r="G35" s="1757"/>
    </row>
    <row r="36" spans="1:7" ht="23.25" customHeight="1">
      <c r="B36" s="1764"/>
      <c r="C36" s="1765"/>
      <c r="D36" s="1765"/>
      <c r="E36" s="1766"/>
      <c r="F36" s="1746"/>
      <c r="G36" s="1757"/>
    </row>
    <row r="39" spans="1:7"/>
    <row r="40" spans="1:7">
      <c r="A40" t="s">
        <v>1721</v>
      </c>
      <c r="B40" t="s">
        <v>1792</v>
      </c>
      <c r="C40" t="s">
        <v>1793</v>
      </c>
      <c r="D40" t="s">
        <v>1794</v>
      </c>
      <c r="E40" t="s">
        <v>1795</v>
      </c>
      <c r="F40" t="s">
        <v>1723</v>
      </c>
    </row>
    <row r="41" spans="1:7" ht="15" customHeight="1">
      <c r="A41">
        <v>2</v>
      </c>
      <c r="B41" s="1421">
        <v>17105221</v>
      </c>
      <c r="C41">
        <v>15169612</v>
      </c>
      <c r="D41" t="s">
        <v>1796</v>
      </c>
      <c r="E41" s="1422">
        <v>45482</v>
      </c>
      <c r="F41" s="1422">
        <v>45846</v>
      </c>
    </row>
    <row r="42" spans="1:7" ht="15" customHeight="1">
      <c r="A42">
        <v>7</v>
      </c>
      <c r="B42">
        <v>17105223</v>
      </c>
      <c r="C42">
        <v>15169619</v>
      </c>
      <c r="D42" t="s">
        <v>1797</v>
      </c>
      <c r="E42" s="1422">
        <v>45499</v>
      </c>
      <c r="F42" s="1422">
        <v>45863</v>
      </c>
    </row>
    <row r="43" spans="1:7" ht="15" customHeight="1">
      <c r="A43">
        <v>3</v>
      </c>
      <c r="B43">
        <v>17105221</v>
      </c>
      <c r="C43">
        <v>15169621</v>
      </c>
      <c r="D43" t="s">
        <v>1796</v>
      </c>
      <c r="E43" s="1422">
        <v>45500</v>
      </c>
      <c r="F43" s="1422">
        <v>45864</v>
      </c>
    </row>
    <row r="44" spans="1:7" ht="15" customHeight="1">
      <c r="A44">
        <v>4</v>
      </c>
      <c r="B44">
        <v>17105221</v>
      </c>
      <c r="C44">
        <v>15169620</v>
      </c>
      <c r="D44" t="s">
        <v>1796</v>
      </c>
      <c r="E44" s="1422">
        <v>45517</v>
      </c>
      <c r="F44" s="1422">
        <v>45881</v>
      </c>
    </row>
    <row r="45" spans="1:7" ht="15" customHeight="1">
      <c r="A45">
        <v>2</v>
      </c>
      <c r="B45">
        <v>17282215</v>
      </c>
      <c r="C45">
        <v>16522476</v>
      </c>
      <c r="D45" t="s">
        <v>1796</v>
      </c>
      <c r="E45" s="1422">
        <v>45744</v>
      </c>
      <c r="F45" s="1422">
        <v>45835</v>
      </c>
    </row>
    <row r="46" spans="1:7" ht="15" customHeight="1">
      <c r="A46">
        <v>1</v>
      </c>
      <c r="B46">
        <v>17240106</v>
      </c>
      <c r="C46">
        <v>15975544</v>
      </c>
      <c r="D46" t="s">
        <v>1798</v>
      </c>
      <c r="E46" s="1422">
        <v>45705</v>
      </c>
      <c r="F46" s="1422">
        <v>46069</v>
      </c>
    </row>
  </sheetData>
  <mergeCells count="25">
    <mergeCell ref="B18:D18"/>
    <mergeCell ref="B4:D4"/>
    <mergeCell ref="B3:D3"/>
    <mergeCell ref="B9:D9"/>
    <mergeCell ref="G35:G36"/>
    <mergeCell ref="E25:E27"/>
    <mergeCell ref="E19:E22"/>
    <mergeCell ref="B35:E36"/>
    <mergeCell ref="F35:F36"/>
    <mergeCell ref="B23:D23"/>
    <mergeCell ref="B29:D29"/>
    <mergeCell ref="F33:F34"/>
    <mergeCell ref="B33:E34"/>
    <mergeCell ref="B14:D14"/>
    <mergeCell ref="L3:N3"/>
    <mergeCell ref="L4:N4"/>
    <mergeCell ref="L8:N8"/>
    <mergeCell ref="L14:O15"/>
    <mergeCell ref="E5:E8"/>
    <mergeCell ref="E10:E13"/>
    <mergeCell ref="T12:U12"/>
    <mergeCell ref="T18:U18"/>
    <mergeCell ref="P14:P15"/>
    <mergeCell ref="L16:O17"/>
    <mergeCell ref="P16:P1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4:I18"/>
  <sheetViews>
    <sheetView workbookViewId="0"/>
  </sheetViews>
  <sheetFormatPr defaultColWidth="11.42578125" defaultRowHeight="15"/>
  <cols>
    <col min="3" max="3" width="20.42578125" customWidth="1"/>
    <col min="4" max="4" width="14.85546875" customWidth="1"/>
    <col min="5" max="5" width="23.5703125" customWidth="1"/>
    <col min="6" max="6" width="20.5703125" customWidth="1"/>
    <col min="7" max="7" width="9.42578125" customWidth="1"/>
    <col min="8" max="8" width="11.42578125" customWidth="1"/>
    <col min="9" max="9" width="13" customWidth="1"/>
  </cols>
  <sheetData>
    <row r="4" spans="3:9">
      <c r="C4" s="1770" t="s">
        <v>1719</v>
      </c>
      <c r="D4" s="1770"/>
      <c r="E4" s="1770"/>
      <c r="F4" s="548" t="s">
        <v>1720</v>
      </c>
      <c r="G4" s="548" t="s">
        <v>1721</v>
      </c>
      <c r="H4" s="548" t="s">
        <v>1722</v>
      </c>
      <c r="I4" s="548" t="s">
        <v>1723</v>
      </c>
    </row>
    <row r="5" spans="3:9">
      <c r="C5" s="1769" t="s">
        <v>1724</v>
      </c>
      <c r="D5" s="1769"/>
      <c r="E5" s="1769"/>
      <c r="F5" s="549" t="s">
        <v>1725</v>
      </c>
      <c r="G5" s="550">
        <v>4</v>
      </c>
      <c r="H5" s="156"/>
      <c r="I5" s="29"/>
    </row>
    <row r="6" spans="3:9">
      <c r="C6" s="46" t="s">
        <v>1730</v>
      </c>
      <c r="D6" s="46" t="s">
        <v>990</v>
      </c>
      <c r="E6" s="46" t="s">
        <v>1731</v>
      </c>
      <c r="F6" s="1771" t="s">
        <v>1732</v>
      </c>
      <c r="G6" s="38"/>
      <c r="H6" s="29">
        <v>11025116</v>
      </c>
      <c r="I6" s="518">
        <v>45481</v>
      </c>
    </row>
    <row r="7" spans="3:9">
      <c r="C7" s="46" t="s">
        <v>1730</v>
      </c>
      <c r="D7" s="46" t="s">
        <v>1735</v>
      </c>
      <c r="E7" s="46" t="s">
        <v>1731</v>
      </c>
      <c r="F7" s="1771"/>
      <c r="G7" s="38"/>
      <c r="H7" s="29">
        <v>11025116</v>
      </c>
      <c r="I7" s="518">
        <v>45481</v>
      </c>
    </row>
    <row r="8" spans="3:9">
      <c r="C8" s="46" t="s">
        <v>1730</v>
      </c>
      <c r="D8" s="46" t="s">
        <v>1008</v>
      </c>
      <c r="E8" s="46" t="s">
        <v>1731</v>
      </c>
      <c r="F8" s="1771"/>
      <c r="G8" s="38"/>
      <c r="H8" s="29">
        <v>16832113</v>
      </c>
      <c r="I8" s="518">
        <v>45500</v>
      </c>
    </row>
    <row r="9" spans="3:9">
      <c r="C9" s="46" t="s">
        <v>1730</v>
      </c>
      <c r="D9" s="46" t="s">
        <v>1015</v>
      </c>
      <c r="E9" s="46" t="s">
        <v>1731</v>
      </c>
      <c r="F9" s="1771"/>
      <c r="G9" s="38"/>
      <c r="H9" s="29">
        <v>16832113</v>
      </c>
      <c r="I9" s="518">
        <v>45500</v>
      </c>
    </row>
    <row r="10" spans="3:9">
      <c r="C10" s="1769" t="s">
        <v>1742</v>
      </c>
      <c r="D10" s="1769"/>
      <c r="E10" s="1769"/>
      <c r="F10" s="549" t="s">
        <v>1725</v>
      </c>
      <c r="G10" s="550">
        <v>4</v>
      </c>
      <c r="H10" s="156"/>
      <c r="I10" s="29"/>
    </row>
    <row r="11" spans="3:9">
      <c r="C11" s="46" t="s">
        <v>1744</v>
      </c>
      <c r="D11" s="46" t="s">
        <v>38</v>
      </c>
      <c r="E11" s="46" t="s">
        <v>1745</v>
      </c>
      <c r="F11" s="1771" t="s">
        <v>1732</v>
      </c>
      <c r="G11" s="38"/>
      <c r="H11" s="29">
        <v>16832113</v>
      </c>
      <c r="I11" s="518">
        <v>45500</v>
      </c>
    </row>
    <row r="12" spans="3:9">
      <c r="C12" s="46" t="s">
        <v>1744</v>
      </c>
      <c r="D12" s="46" t="s">
        <v>58</v>
      </c>
      <c r="E12" s="46" t="s">
        <v>1745</v>
      </c>
      <c r="F12" s="1771"/>
      <c r="G12" s="38"/>
      <c r="H12" s="29">
        <v>16832113</v>
      </c>
      <c r="I12" s="518">
        <v>45517</v>
      </c>
    </row>
    <row r="13" spans="3:9">
      <c r="C13" s="46" t="s">
        <v>1744</v>
      </c>
      <c r="D13" s="46" t="s">
        <v>70</v>
      </c>
      <c r="E13" s="46" t="s">
        <v>1745</v>
      </c>
      <c r="F13" s="1771"/>
      <c r="G13" s="38"/>
      <c r="H13" s="29">
        <v>16832113</v>
      </c>
      <c r="I13" s="518">
        <v>45517</v>
      </c>
    </row>
    <row r="14" spans="3:9" ht="36" customHeight="1">
      <c r="C14" s="46" t="s">
        <v>1744</v>
      </c>
      <c r="D14" s="46" t="s">
        <v>76</v>
      </c>
      <c r="E14" s="46" t="s">
        <v>1745</v>
      </c>
      <c r="F14" s="1771"/>
      <c r="G14" s="38"/>
      <c r="H14" s="29">
        <v>17020451</v>
      </c>
      <c r="I14" s="518">
        <v>45744</v>
      </c>
    </row>
    <row r="15" spans="3:9">
      <c r="C15" s="1769" t="s">
        <v>1750</v>
      </c>
      <c r="D15" s="1769"/>
      <c r="E15" s="1769"/>
      <c r="F15" s="549" t="s">
        <v>1751</v>
      </c>
      <c r="G15" s="550">
        <v>3</v>
      </c>
      <c r="H15" s="29"/>
      <c r="I15" s="29"/>
    </row>
    <row r="16" spans="3:9">
      <c r="C16" s="47" t="s">
        <v>856</v>
      </c>
      <c r="D16" s="47" t="s">
        <v>1375</v>
      </c>
      <c r="E16" s="47" t="s">
        <v>1612</v>
      </c>
      <c r="F16" s="47" t="s">
        <v>1758</v>
      </c>
      <c r="G16" s="38"/>
      <c r="H16" s="29">
        <v>14254849</v>
      </c>
      <c r="I16" s="518">
        <v>45498</v>
      </c>
    </row>
    <row r="17" spans="3:9" hidden="1">
      <c r="C17" s="517" t="s">
        <v>1458</v>
      </c>
      <c r="D17" s="517" t="s">
        <v>1707</v>
      </c>
      <c r="E17" s="517" t="s">
        <v>1705</v>
      </c>
      <c r="F17" s="517" t="s">
        <v>680</v>
      </c>
      <c r="G17" s="38"/>
      <c r="H17" s="29"/>
      <c r="I17" s="29"/>
    </row>
    <row r="18" spans="3:9">
      <c r="C18" s="47" t="s">
        <v>1458</v>
      </c>
      <c r="D18" s="47" t="s">
        <v>1476</v>
      </c>
      <c r="E18" s="47" t="s">
        <v>1708</v>
      </c>
      <c r="F18" s="47" t="s">
        <v>1758</v>
      </c>
      <c r="G18" s="29"/>
      <c r="H18" s="29">
        <v>14254849</v>
      </c>
      <c r="I18" s="518">
        <v>45498</v>
      </c>
    </row>
  </sheetData>
  <mergeCells count="6">
    <mergeCell ref="C15:E15"/>
    <mergeCell ref="C4:E4"/>
    <mergeCell ref="C5:E5"/>
    <mergeCell ref="F6:F9"/>
    <mergeCell ref="C10:E10"/>
    <mergeCell ref="F11:F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99E69-FC72-47F4-AAA9-CC0157AB3A8C}">
  <dimension ref="A2:J28"/>
  <sheetViews>
    <sheetView tabSelected="1" topLeftCell="A9" workbookViewId="0">
      <selection activeCell="C25" sqref="C25"/>
    </sheetView>
  </sheetViews>
  <sheetFormatPr defaultColWidth="9.140625" defaultRowHeight="15"/>
  <cols>
    <col min="1" max="1" width="33" customWidth="1"/>
    <col min="2" max="2" width="25.42578125" customWidth="1"/>
    <col min="3" max="3" width="24.140625" customWidth="1"/>
    <col min="4" max="4" width="19.7109375" customWidth="1"/>
    <col min="5" max="5" width="20.7109375" customWidth="1"/>
    <col min="6" max="6" width="24.85546875" customWidth="1"/>
    <col min="7" max="7" width="16.5703125" customWidth="1"/>
    <col min="8" max="8" width="19" customWidth="1"/>
    <col min="10" max="10" width="12.5703125" customWidth="1"/>
  </cols>
  <sheetData>
    <row r="2" spans="1:10" ht="30">
      <c r="A2" s="1489" t="s">
        <v>1799</v>
      </c>
      <c r="B2" s="1490" t="s">
        <v>1800</v>
      </c>
      <c r="C2" s="1491" t="s">
        <v>1801</v>
      </c>
      <c r="D2" s="1491" t="s">
        <v>1802</v>
      </c>
      <c r="E2" s="1491" t="s">
        <v>1803</v>
      </c>
      <c r="F2" s="1491" t="s">
        <v>1721</v>
      </c>
      <c r="G2" s="1491" t="s">
        <v>1804</v>
      </c>
      <c r="H2" s="1492" t="s">
        <v>1805</v>
      </c>
    </row>
    <row r="3" spans="1:10" ht="96.75">
      <c r="A3" s="1493" t="s">
        <v>1806</v>
      </c>
      <c r="B3" s="1494" t="s">
        <v>1807</v>
      </c>
      <c r="C3" s="1508" t="s">
        <v>1808</v>
      </c>
      <c r="D3" s="1495" t="s">
        <v>1809</v>
      </c>
      <c r="E3" s="1496" t="s">
        <v>1810</v>
      </c>
      <c r="F3" s="1495">
        <v>14</v>
      </c>
      <c r="G3" s="1497">
        <v>45532</v>
      </c>
      <c r="H3" s="1500">
        <v>46626</v>
      </c>
    </row>
    <row r="4" spans="1:10" ht="24.75">
      <c r="A4" s="1493" t="s">
        <v>1811</v>
      </c>
      <c r="B4" s="1494" t="s">
        <v>1812</v>
      </c>
      <c r="C4" s="1498" t="s">
        <v>809</v>
      </c>
      <c r="D4" s="1495" t="s">
        <v>1813</v>
      </c>
      <c r="E4" s="1496" t="s">
        <v>1814</v>
      </c>
      <c r="F4" s="1495">
        <v>1</v>
      </c>
      <c r="G4" s="1499">
        <v>45317</v>
      </c>
      <c r="H4" s="1500">
        <v>45535</v>
      </c>
      <c r="I4" t="s">
        <v>1815</v>
      </c>
    </row>
    <row r="5" spans="1:10" ht="24.75">
      <c r="A5" s="1493" t="s">
        <v>1816</v>
      </c>
      <c r="B5" s="1494" t="s">
        <v>1817</v>
      </c>
      <c r="C5" s="1495" t="s">
        <v>1818</v>
      </c>
      <c r="D5" s="1495" t="s">
        <v>1819</v>
      </c>
      <c r="E5" s="1496" t="s">
        <v>1820</v>
      </c>
      <c r="F5" s="1495">
        <v>1</v>
      </c>
      <c r="G5" s="1497">
        <v>45532</v>
      </c>
      <c r="H5" s="1500">
        <v>46626</v>
      </c>
    </row>
    <row r="6" spans="1:10" ht="24.75">
      <c r="A6" s="1493" t="s">
        <v>1811</v>
      </c>
      <c r="B6" s="1494" t="s">
        <v>1821</v>
      </c>
      <c r="C6" s="1498" t="s">
        <v>1822</v>
      </c>
      <c r="D6" s="1495" t="s">
        <v>1813</v>
      </c>
      <c r="E6" s="1495" t="s">
        <v>1823</v>
      </c>
      <c r="F6" s="1495">
        <v>1</v>
      </c>
      <c r="G6" s="1499">
        <v>45317</v>
      </c>
      <c r="H6" s="1500">
        <v>45535</v>
      </c>
      <c r="I6" t="s">
        <v>1815</v>
      </c>
    </row>
    <row r="7" spans="1:10" ht="36.75">
      <c r="A7" s="1493" t="s">
        <v>1824</v>
      </c>
      <c r="B7" s="1494" t="s">
        <v>1825</v>
      </c>
      <c r="C7" s="1495" t="s">
        <v>1826</v>
      </c>
      <c r="D7" s="1495" t="s">
        <v>1827</v>
      </c>
      <c r="E7" s="1496" t="s">
        <v>1828</v>
      </c>
      <c r="F7" s="1495">
        <v>6</v>
      </c>
      <c r="G7" s="1497">
        <v>45532</v>
      </c>
      <c r="H7" s="1500">
        <v>46626</v>
      </c>
    </row>
    <row r="8" spans="1:10" ht="24.75">
      <c r="A8" s="1501" t="s">
        <v>1829</v>
      </c>
      <c r="B8" s="1494" t="s">
        <v>1830</v>
      </c>
      <c r="C8" s="1495" t="s">
        <v>1831</v>
      </c>
      <c r="D8" s="1495" t="s">
        <v>1832</v>
      </c>
      <c r="E8" s="1502" t="s">
        <v>1833</v>
      </c>
      <c r="F8" s="1495">
        <v>4</v>
      </c>
      <c r="G8" s="1497">
        <v>45532</v>
      </c>
      <c r="H8" s="1500">
        <v>46626</v>
      </c>
    </row>
    <row r="9" spans="1:10" ht="24.75">
      <c r="A9" s="1493" t="s">
        <v>1806</v>
      </c>
      <c r="B9" s="1494" t="s">
        <v>1834</v>
      </c>
      <c r="C9" s="1498">
        <v>19216834118</v>
      </c>
      <c r="D9" s="1495" t="s">
        <v>1813</v>
      </c>
      <c r="E9" s="1495" t="s">
        <v>1835</v>
      </c>
      <c r="F9" s="1495">
        <v>1</v>
      </c>
      <c r="G9" s="1497">
        <v>45535</v>
      </c>
      <c r="H9" s="1500">
        <v>45535</v>
      </c>
      <c r="I9" t="s">
        <v>1815</v>
      </c>
    </row>
    <row r="10" spans="1:10" ht="36.75">
      <c r="A10" s="1493" t="s">
        <v>1811</v>
      </c>
      <c r="B10" s="1494" t="s">
        <v>1836</v>
      </c>
      <c r="C10" s="1495" t="s">
        <v>1837</v>
      </c>
      <c r="D10" s="1495" t="s">
        <v>1838</v>
      </c>
      <c r="E10" s="1496" t="s">
        <v>1839</v>
      </c>
      <c r="F10" s="1495">
        <v>6</v>
      </c>
      <c r="G10" s="1499">
        <v>44974</v>
      </c>
      <c r="H10" s="1500">
        <v>45535</v>
      </c>
      <c r="I10" t="s">
        <v>1815</v>
      </c>
    </row>
    <row r="11" spans="1:10" ht="24.75">
      <c r="A11" s="1493" t="s">
        <v>1840</v>
      </c>
      <c r="B11" s="1494" t="s">
        <v>1841</v>
      </c>
      <c r="C11" s="1495" t="s">
        <v>1842</v>
      </c>
      <c r="D11" s="1495" t="s">
        <v>1843</v>
      </c>
      <c r="E11" s="1496" t="s">
        <v>1844</v>
      </c>
      <c r="F11" s="1495">
        <v>1</v>
      </c>
      <c r="G11" s="1497">
        <v>45532</v>
      </c>
      <c r="H11" s="1500">
        <v>46626</v>
      </c>
    </row>
    <row r="12" spans="1:10" ht="24.75">
      <c r="A12" s="1493" t="s">
        <v>1845</v>
      </c>
      <c r="B12" s="1503" t="s">
        <v>1846</v>
      </c>
      <c r="C12" s="1495" t="s">
        <v>1847</v>
      </c>
      <c r="D12" s="1495" t="s">
        <v>1843</v>
      </c>
      <c r="E12" s="1495" t="s">
        <v>1848</v>
      </c>
      <c r="F12" s="1495">
        <v>1</v>
      </c>
      <c r="G12" s="1497">
        <v>45330</v>
      </c>
      <c r="H12" s="1500">
        <v>45696</v>
      </c>
      <c r="I12" t="s">
        <v>1849</v>
      </c>
    </row>
    <row r="13" spans="1:10" ht="36.75">
      <c r="A13" s="1493" t="s">
        <v>1850</v>
      </c>
      <c r="B13" s="1503" t="s">
        <v>1851</v>
      </c>
      <c r="C13" s="1495" t="s">
        <v>1852</v>
      </c>
      <c r="D13" s="1495" t="s">
        <v>1853</v>
      </c>
      <c r="E13" s="1495" t="s">
        <v>1854</v>
      </c>
      <c r="F13" s="1495">
        <v>96</v>
      </c>
      <c r="G13" s="1497">
        <v>45330</v>
      </c>
      <c r="H13" s="1500">
        <v>45696</v>
      </c>
      <c r="I13" t="s">
        <v>1849</v>
      </c>
    </row>
    <row r="16" spans="1:10" ht="60">
      <c r="A16" s="1489" t="s">
        <v>1855</v>
      </c>
      <c r="B16" s="1491" t="s">
        <v>1801</v>
      </c>
      <c r="C16" s="1491" t="s">
        <v>1856</v>
      </c>
      <c r="D16" s="1491" t="s">
        <v>1857</v>
      </c>
      <c r="E16" s="1491" t="s">
        <v>1858</v>
      </c>
      <c r="F16" s="1491" t="s">
        <v>1859</v>
      </c>
      <c r="G16" s="1491" t="s">
        <v>1860</v>
      </c>
      <c r="H16" s="1491" t="s">
        <v>1861</v>
      </c>
      <c r="I16" s="1491" t="s">
        <v>1862</v>
      </c>
      <c r="J16" s="1491" t="s">
        <v>1863</v>
      </c>
    </row>
    <row r="17" spans="1:10" ht="15" customHeight="1">
      <c r="A17" s="1772" t="s">
        <v>1749</v>
      </c>
      <c r="B17" s="1504" t="s">
        <v>1864</v>
      </c>
      <c r="C17" s="1772" t="s">
        <v>1810</v>
      </c>
      <c r="D17" s="1774">
        <v>4</v>
      </c>
      <c r="E17" s="1505">
        <v>2</v>
      </c>
      <c r="F17" s="1505">
        <v>22</v>
      </c>
      <c r="G17" s="1505">
        <v>44</v>
      </c>
      <c r="H17" s="1505">
        <v>88</v>
      </c>
      <c r="I17" s="1812">
        <v>176</v>
      </c>
      <c r="J17" s="1813">
        <v>352</v>
      </c>
    </row>
    <row r="18" spans="1:10" ht="24.75" customHeight="1">
      <c r="A18" s="1772"/>
      <c r="B18" s="1504" t="s">
        <v>1865</v>
      </c>
      <c r="C18" s="1772"/>
      <c r="D18" s="1774"/>
      <c r="E18" s="1505">
        <v>2</v>
      </c>
      <c r="F18" s="1505">
        <v>22</v>
      </c>
      <c r="G18" s="1505">
        <v>44</v>
      </c>
      <c r="H18" s="1505">
        <v>88</v>
      </c>
      <c r="I18" s="1812"/>
      <c r="J18" s="1813"/>
    </row>
    <row r="19" spans="1:10" ht="24.75" customHeight="1">
      <c r="A19" s="1772"/>
      <c r="B19" s="1504" t="s">
        <v>1866</v>
      </c>
      <c r="C19" s="1773"/>
      <c r="D19" s="1774"/>
      <c r="E19" s="1505">
        <v>2</v>
      </c>
      <c r="F19" s="1505">
        <v>22</v>
      </c>
      <c r="G19" s="1505">
        <v>44</v>
      </c>
      <c r="H19" s="1505">
        <v>88</v>
      </c>
      <c r="I19" s="1812"/>
      <c r="J19" s="1813"/>
    </row>
    <row r="20" spans="1:10" ht="24.75" customHeight="1">
      <c r="A20" s="1773"/>
      <c r="B20" s="1517" t="s">
        <v>1867</v>
      </c>
      <c r="C20" s="1517" t="s">
        <v>1828</v>
      </c>
      <c r="D20" s="1775"/>
      <c r="E20" s="1505">
        <v>2</v>
      </c>
      <c r="F20" s="1505">
        <v>22</v>
      </c>
      <c r="G20" s="1505">
        <v>44</v>
      </c>
      <c r="H20" s="1505">
        <v>88</v>
      </c>
      <c r="I20" s="1814"/>
      <c r="J20" s="1815"/>
    </row>
    <row r="21" spans="1:10" ht="15" customHeight="1">
      <c r="A21" s="1772" t="s">
        <v>1753</v>
      </c>
      <c r="B21" s="1517" t="s">
        <v>1868</v>
      </c>
      <c r="C21" s="1781" t="s">
        <v>1833</v>
      </c>
      <c r="D21" s="1779">
        <v>2</v>
      </c>
      <c r="E21" s="1505">
        <v>2</v>
      </c>
      <c r="F21" s="1505">
        <v>20</v>
      </c>
      <c r="G21" s="1505">
        <v>40</v>
      </c>
      <c r="H21" s="1505">
        <v>80</v>
      </c>
      <c r="I21" s="1812">
        <v>168</v>
      </c>
      <c r="J21" s="1813">
        <v>336</v>
      </c>
    </row>
    <row r="22" spans="1:10" ht="24.75" customHeight="1">
      <c r="A22" s="1772"/>
      <c r="B22" s="1517" t="s">
        <v>1869</v>
      </c>
      <c r="C22" s="1782"/>
      <c r="D22" s="1780"/>
      <c r="E22" s="1505">
        <v>2</v>
      </c>
      <c r="F22" s="1505">
        <v>20</v>
      </c>
      <c r="G22" s="1505">
        <v>40</v>
      </c>
      <c r="H22" s="1505">
        <v>80</v>
      </c>
      <c r="I22" s="1812"/>
      <c r="J22" s="1813"/>
    </row>
    <row r="23" spans="1:10" ht="15" customHeight="1">
      <c r="A23" s="1772"/>
      <c r="B23" s="1517" t="s">
        <v>1870</v>
      </c>
      <c r="C23" s="1517" t="s">
        <v>1828</v>
      </c>
      <c r="D23" s="1779">
        <v>2</v>
      </c>
      <c r="E23" s="1505">
        <v>2</v>
      </c>
      <c r="F23" s="1505">
        <v>22</v>
      </c>
      <c r="G23" s="1505">
        <v>44</v>
      </c>
      <c r="H23" s="1505">
        <v>88</v>
      </c>
      <c r="I23" s="1812"/>
      <c r="J23" s="1813"/>
    </row>
    <row r="24" spans="1:10" ht="24.75" customHeight="1">
      <c r="A24" s="1773"/>
      <c r="B24" s="1517" t="s">
        <v>1871</v>
      </c>
      <c r="C24" s="1517" t="s">
        <v>1828</v>
      </c>
      <c r="D24" s="1780"/>
      <c r="E24" s="1505">
        <v>2</v>
      </c>
      <c r="F24" s="1505">
        <v>22</v>
      </c>
      <c r="G24" s="1505">
        <v>44</v>
      </c>
      <c r="H24" s="1505">
        <v>88</v>
      </c>
      <c r="I24" s="1814"/>
      <c r="J24" s="1815"/>
    </row>
    <row r="25" spans="1:10">
      <c r="A25" s="1816" t="s">
        <v>1872</v>
      </c>
      <c r="B25" s="1506" t="s">
        <v>1873</v>
      </c>
      <c r="C25" s="1783" t="s">
        <v>1810</v>
      </c>
      <c r="D25" s="1784">
        <v>2</v>
      </c>
      <c r="E25" s="1507">
        <v>2</v>
      </c>
      <c r="F25" s="1507">
        <v>8</v>
      </c>
      <c r="G25" s="1507">
        <v>16</v>
      </c>
      <c r="H25" s="1507">
        <v>32</v>
      </c>
      <c r="I25" s="1785">
        <f>SUM(G25:G26)</f>
        <v>32</v>
      </c>
      <c r="J25" s="1817">
        <f>SUM(H25:H26)</f>
        <v>64</v>
      </c>
    </row>
    <row r="26" spans="1:10">
      <c r="A26" s="1816"/>
      <c r="B26" s="1506" t="s">
        <v>1874</v>
      </c>
      <c r="C26" s="1783"/>
      <c r="D26" s="1784"/>
      <c r="E26" s="1507">
        <v>2</v>
      </c>
      <c r="F26" s="1507">
        <v>8</v>
      </c>
      <c r="G26" s="1507">
        <v>16</v>
      </c>
      <c r="H26" s="1507">
        <v>32</v>
      </c>
      <c r="I26" s="1785"/>
      <c r="J26" s="1817"/>
    </row>
    <row r="27" spans="1:10" ht="15" customHeight="1">
      <c r="A27" s="1818" t="s">
        <v>1875</v>
      </c>
      <c r="B27" s="1514" t="s">
        <v>1843</v>
      </c>
      <c r="C27" s="1514" t="s">
        <v>1876</v>
      </c>
      <c r="D27" s="1515" t="s">
        <v>46</v>
      </c>
      <c r="E27" s="20"/>
      <c r="F27" s="20"/>
      <c r="G27" s="20"/>
      <c r="H27" s="20"/>
      <c r="I27" s="20"/>
      <c r="J27" s="20"/>
    </row>
    <row r="28" spans="1:10" ht="15" customHeight="1">
      <c r="A28" s="1818"/>
      <c r="B28" s="1514" t="s">
        <v>1877</v>
      </c>
      <c r="C28" s="1514" t="s">
        <v>1878</v>
      </c>
      <c r="D28" s="1515" t="s">
        <v>46</v>
      </c>
      <c r="E28" s="1776" t="s">
        <v>1879</v>
      </c>
      <c r="F28" s="1777"/>
      <c r="G28" s="1777"/>
      <c r="H28" s="1778"/>
      <c r="I28" s="1516">
        <f>SUM(I17:I26)</f>
        <v>376</v>
      </c>
      <c r="J28" s="1516">
        <f>SUM(J17:J26)</f>
        <v>752</v>
      </c>
    </row>
  </sheetData>
  <mergeCells count="18">
    <mergeCell ref="J25:J26"/>
    <mergeCell ref="E28:H28"/>
    <mergeCell ref="J21:J24"/>
    <mergeCell ref="D23:D24"/>
    <mergeCell ref="A21:A24"/>
    <mergeCell ref="C21:C22"/>
    <mergeCell ref="D21:D22"/>
    <mergeCell ref="I21:I24"/>
    <mergeCell ref="A27:A28"/>
    <mergeCell ref="A25:A26"/>
    <mergeCell ref="C25:C26"/>
    <mergeCell ref="D25:D26"/>
    <mergeCell ref="I25:I26"/>
    <mergeCell ref="A17:A20"/>
    <mergeCell ref="C17:C19"/>
    <mergeCell ref="D17:D20"/>
    <mergeCell ref="I17:I20"/>
    <mergeCell ref="J17:J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L54"/>
  <sheetViews>
    <sheetView topLeftCell="A30" zoomScale="90" zoomScaleNormal="90" workbookViewId="0">
      <selection activeCell="E46" sqref="E46"/>
    </sheetView>
  </sheetViews>
  <sheetFormatPr defaultColWidth="11.42578125" defaultRowHeight="15"/>
  <cols>
    <col min="2" max="2" width="25.42578125" customWidth="1"/>
    <col min="3" max="3" width="20.5703125" bestFit="1" customWidth="1"/>
    <col min="5" max="5" width="21.5703125" customWidth="1"/>
    <col min="7" max="7" width="15" customWidth="1"/>
    <col min="8" max="8" width="20.42578125" bestFit="1" customWidth="1"/>
    <col min="9" max="9" width="18.42578125" bestFit="1" customWidth="1"/>
  </cols>
  <sheetData>
    <row r="4" spans="2:7">
      <c r="B4" s="1786" t="s">
        <v>1880</v>
      </c>
      <c r="C4" s="1786"/>
    </row>
    <row r="5" spans="2:7">
      <c r="B5" s="13" t="s">
        <v>1881</v>
      </c>
      <c r="C5" s="2">
        <f>UIO!F173</f>
        <v>26</v>
      </c>
    </row>
    <row r="6" spans="2:7">
      <c r="B6" s="13" t="s">
        <v>1882</v>
      </c>
      <c r="C6" s="2">
        <f>UIO!I173</f>
        <v>144</v>
      </c>
    </row>
    <row r="7" spans="2:7">
      <c r="B7" s="13" t="s">
        <v>1883</v>
      </c>
      <c r="C7" s="13">
        <f>SUM(C5:C6)</f>
        <v>170</v>
      </c>
    </row>
    <row r="10" spans="2:7">
      <c r="B10" s="1786" t="s">
        <v>1884</v>
      </c>
      <c r="C10" s="1786"/>
      <c r="E10" s="1799" t="s">
        <v>1885</v>
      </c>
      <c r="F10" s="1799"/>
    </row>
    <row r="11" spans="2:7">
      <c r="B11" s="13" t="s">
        <v>1881</v>
      </c>
      <c r="C11" s="2">
        <f>GYE!F168</f>
        <v>25</v>
      </c>
      <c r="E11" s="156" t="s">
        <v>1886</v>
      </c>
      <c r="F11" s="156">
        <f>C5+C11</f>
        <v>51</v>
      </c>
    </row>
    <row r="12" spans="2:7">
      <c r="B12" s="13" t="s">
        <v>1882</v>
      </c>
      <c r="C12" s="2">
        <f>GYE!I168</f>
        <v>140</v>
      </c>
      <c r="E12" s="156" t="s">
        <v>1887</v>
      </c>
      <c r="F12" s="156">
        <f>C12+C6</f>
        <v>284</v>
      </c>
    </row>
    <row r="13" spans="2:7">
      <c r="B13" s="13" t="s">
        <v>1883</v>
      </c>
      <c r="C13" s="13">
        <f>SUM(C11:C12)</f>
        <v>165</v>
      </c>
      <c r="E13" s="156" t="s">
        <v>1888</v>
      </c>
      <c r="F13" s="156">
        <f>C7+C13</f>
        <v>335</v>
      </c>
    </row>
    <row r="16" spans="2:7" ht="27" customHeight="1">
      <c r="B16" s="1795" t="s">
        <v>1889</v>
      </c>
      <c r="C16" s="1796"/>
      <c r="D16" s="83" t="s">
        <v>1890</v>
      </c>
      <c r="E16" s="83" t="s">
        <v>1891</v>
      </c>
      <c r="F16" s="83" t="s">
        <v>1892</v>
      </c>
      <c r="G16" s="83" t="s">
        <v>1893</v>
      </c>
    </row>
    <row r="17" spans="2:7">
      <c r="B17" s="13" t="s">
        <v>1884</v>
      </c>
      <c r="C17" s="81">
        <f>COUNTIF(GYE!W7:W163,"ALT*")</f>
        <v>90</v>
      </c>
      <c r="D17" s="29">
        <f>COUNTIFS(GYE!W7:W163,"ALT*",GYE!J7:J163,"VIRTU*")</f>
        <v>87</v>
      </c>
      <c r="E17" s="29">
        <f>SUMIFS(GYE!T7:T163,GYE!W7:W163,"ALT*",GYE!J7:J163,"VIRT*")</f>
        <v>34373.19</v>
      </c>
      <c r="F17" s="88">
        <f>COUNTIFS(GYE!W7:W163,"ALT*",GYE!J7:J163,"FISI*")</f>
        <v>3</v>
      </c>
      <c r="G17" s="29">
        <f>SUMIFS(GYE!T7:T163,GYE!W7:W163,"ALT*",GYE!J7:J163,"FISI*")</f>
        <v>35680</v>
      </c>
    </row>
    <row r="18" spans="2:7">
      <c r="B18" s="76" t="s">
        <v>1880</v>
      </c>
      <c r="C18" s="82">
        <f>COUNTIF(UIO!V8:V154,"ALT*")</f>
        <v>104</v>
      </c>
      <c r="D18" s="29">
        <f>COUNTIFS(UIO!V8:V169,"ALT*",UIO!J8:J169,"VIRTU*")</f>
        <v>105</v>
      </c>
      <c r="E18" s="29">
        <f>SUMIFS(UIO!T8:T169,UIO!V8:V169,"ALT*",UIO!J8:J169,"VIRTU*")</f>
        <v>64964.500000000007</v>
      </c>
      <c r="F18" s="88">
        <f>COUNTIFS(UIO!V8:V169,"ALT*",UIO!J8:J169,"FISI*")</f>
        <v>10</v>
      </c>
      <c r="G18" s="29">
        <f>SUMIFS(UIO!T8:T169,UIO!V8:V169,"ALT*",UIO!J8:J169,"FIS*")</f>
        <v>8200</v>
      </c>
    </row>
    <row r="19" spans="2:7">
      <c r="B19" s="77" t="s">
        <v>1879</v>
      </c>
      <c r="C19" s="77">
        <f>SUM(C17:C18)</f>
        <v>194</v>
      </c>
    </row>
    <row r="20" spans="2:7" ht="27.75" customHeight="1"/>
    <row r="21" spans="2:7" ht="27" customHeight="1">
      <c r="B21" s="1787" t="s">
        <v>1894</v>
      </c>
      <c r="C21" s="1788"/>
      <c r="D21" s="86" t="s">
        <v>1890</v>
      </c>
      <c r="E21" s="86" t="s">
        <v>1891</v>
      </c>
      <c r="F21" s="86" t="s">
        <v>1892</v>
      </c>
      <c r="G21" s="86" t="s">
        <v>1893</v>
      </c>
    </row>
    <row r="22" spans="2:7">
      <c r="B22" s="13" t="s">
        <v>1884</v>
      </c>
      <c r="C22" s="81">
        <f>COUNTIF(GYE!W7:W163,"MEDI*")</f>
        <v>33</v>
      </c>
      <c r="D22" s="29">
        <f>COUNTIFS(GYE!W7:W163,"MED*",GYE!J7:J163,"VIRTU*")</f>
        <v>30</v>
      </c>
      <c r="E22" s="29">
        <f>SUMIFS(GYE!T7:T163,GYE!W7:W163,"MED*",GYE!J7:J163,"VIRT*")</f>
        <v>6862</v>
      </c>
      <c r="F22" s="88">
        <f>COUNTIFS(GYE!W7:W163,"MED*",GYE!J7:J163,"FISI*")</f>
        <v>3</v>
      </c>
      <c r="G22" s="29">
        <f>SUMIFS(GYE!T7:T163,GYE!W7:W163,"MED*",GYE!J7:J163,"FIS*")</f>
        <v>13488</v>
      </c>
    </row>
    <row r="23" spans="2:7">
      <c r="B23" s="76" t="s">
        <v>1880</v>
      </c>
      <c r="C23" s="82">
        <f>COUNTIF(UIO!V8:V154,"MEDI*")</f>
        <v>16</v>
      </c>
      <c r="D23" s="29">
        <f>COUNTIFS(UIO!V8:V169,"MED*",UIO!J8:J169,"VIRTU*")</f>
        <v>16</v>
      </c>
      <c r="E23" s="29">
        <f>SUMIFS(UIO!T8:T169,UIO!V8:V169,"MED*",UIO!J8:J169,"VIRTU*")</f>
        <v>5537.27</v>
      </c>
      <c r="F23" s="88">
        <f>COUNTIFS(UIO!V8:V168,"MED*",UIO!J8:J168,"FIS*")</f>
        <v>1</v>
      </c>
      <c r="G23" s="29">
        <f>SUMIFS(UIO!T8:T168,UIO!V8:V168,"MED*",UIO!J8:J168,"FIS*")</f>
        <v>7800</v>
      </c>
    </row>
    <row r="24" spans="2:7" ht="14.25" customHeight="1">
      <c r="B24" s="78" t="s">
        <v>1879</v>
      </c>
      <c r="C24" s="78">
        <f>SUM(C22:C23)</f>
        <v>49</v>
      </c>
    </row>
    <row r="26" spans="2:7" ht="29.25" customHeight="1">
      <c r="B26" s="1789" t="s">
        <v>1895</v>
      </c>
      <c r="C26" s="1790"/>
      <c r="D26" s="84" t="s">
        <v>1890</v>
      </c>
      <c r="E26" s="84" t="s">
        <v>1891</v>
      </c>
      <c r="F26" s="84" t="s">
        <v>1892</v>
      </c>
      <c r="G26" s="84" t="s">
        <v>1893</v>
      </c>
    </row>
    <row r="27" spans="2:7">
      <c r="B27" s="13" t="s">
        <v>1884</v>
      </c>
      <c r="C27" s="81">
        <f>COUNTIF(GYE!W7:W163,"BAJ*")</f>
        <v>23</v>
      </c>
      <c r="D27" s="29">
        <f>COUNTIFS(GYE!W7:W163,"BAJO*",GYE!J7:J163,"VIRTU*")</f>
        <v>22</v>
      </c>
      <c r="E27" s="29">
        <f>SUMIFS(GYE!T7:T163,GYE!W7:W163,"BAJ*",GYE!J7:J163,"VIRT*")</f>
        <v>5905</v>
      </c>
      <c r="F27" s="88">
        <f>COUNTIFS(GYE!W7:W163,"BAJ*",GYE!J7:J163,"FISI*")</f>
        <v>1</v>
      </c>
      <c r="G27" s="29">
        <f>SUMIFS(GYE!T7:T163,GYE!W7:W163,"BAJ*",GYE!J7:J163,"FIS*")</f>
        <v>1200</v>
      </c>
    </row>
    <row r="28" spans="2:7">
      <c r="B28" s="76" t="s">
        <v>1880</v>
      </c>
      <c r="C28" s="82">
        <f>COUNTIF(UIO!V8:V154,"BAJ*")</f>
        <v>25</v>
      </c>
      <c r="D28" s="29">
        <f>COUNTIFS(UIO!V8:V168,"BAJ*",UIO!J8:J168,"VIRTU*")</f>
        <v>25</v>
      </c>
      <c r="E28" s="29">
        <f>SUMIFS(UIO!T8:T168,UIO!V8:V168,"BAJ*",UIO!J8:J168,"VIRTU*")</f>
        <v>20510.856</v>
      </c>
      <c r="F28" s="88">
        <f>COUNTIFS(UIO!V8:V168,"BAJ*",UIO!J8:J168,"FIS*")</f>
        <v>1</v>
      </c>
      <c r="G28" s="29">
        <f>SUMIFS(UIO!T8:T168,UIO!V8:V168,"BAJ*",UIO!J8:J168,"FIS*")</f>
        <v>600</v>
      </c>
    </row>
    <row r="29" spans="2:7">
      <c r="B29" s="79" t="s">
        <v>1879</v>
      </c>
      <c r="C29" s="79">
        <f>SUM(C27:C28)</f>
        <v>48</v>
      </c>
    </row>
    <row r="31" spans="2:7" ht="29.25" customHeight="1">
      <c r="B31" s="1793" t="s">
        <v>1896</v>
      </c>
      <c r="C31" s="1794"/>
      <c r="D31" s="85" t="s">
        <v>1890</v>
      </c>
      <c r="E31" s="85" t="s">
        <v>1891</v>
      </c>
      <c r="F31" s="85" t="s">
        <v>1892</v>
      </c>
      <c r="G31" s="85" t="s">
        <v>1893</v>
      </c>
    </row>
    <row r="32" spans="2:7">
      <c r="B32" s="13" t="s">
        <v>1884</v>
      </c>
      <c r="C32" s="81">
        <f>COUNTIF(GYE!W7:W163,"DAR*")</f>
        <v>3</v>
      </c>
      <c r="D32" s="29">
        <f>COUNTIFS(GYE!W7:W163,"DAR*",GYE!J7:J163,"VIRTU*")</f>
        <v>2</v>
      </c>
      <c r="E32" s="29">
        <f>SUMIFS(GYE!T7:T163,GYE!W7:W163,"DAR*",GYE!J7:J163,"VIRT*")</f>
        <v>528</v>
      </c>
      <c r="F32" s="88">
        <f>COUNTIFS(GYE!W7:W163,"DAR*",GYE!J7:J163,"FISI*")</f>
        <v>1</v>
      </c>
      <c r="G32" s="29">
        <f>SUMIFS(GYE!T7:T163,GYE!W7:W163,"DAR*",GYE!J7:J163,"FIS*")</f>
        <v>1200</v>
      </c>
    </row>
    <row r="33" spans="2:12">
      <c r="B33" s="76" t="s">
        <v>1880</v>
      </c>
      <c r="C33" s="82">
        <f>COUNTIF(UIO!V8:V168,"DAR*")</f>
        <v>0</v>
      </c>
      <c r="D33" s="29">
        <f>COUNTIFS(UIO!V8:V168,"DAR*",UIO!J8:J168,"VIRTU*")</f>
        <v>0</v>
      </c>
      <c r="E33" s="29">
        <f>SUMIFS(UIO!T8:T168,UIO!V8:V168,"DAR*",UIO!J8:J168,"VIRTU*")</f>
        <v>0</v>
      </c>
      <c r="F33" s="88">
        <f>COUNTIFS(UIO!V8:V168,"DAR*",UIO!J8:J168,"FIS*")</f>
        <v>0</v>
      </c>
      <c r="G33" s="29">
        <f>SUMIFS(UIO!T8:T168,UIO!V8:V168,"DAR*",UIO!J8:J168,"FIS*")</f>
        <v>0</v>
      </c>
    </row>
    <row r="34" spans="2:12">
      <c r="B34" s="80" t="s">
        <v>1879</v>
      </c>
      <c r="C34" s="80">
        <f>SUM(C32:C33)</f>
        <v>3</v>
      </c>
    </row>
    <row r="36" spans="2:12">
      <c r="B36" s="1791" t="s">
        <v>1897</v>
      </c>
      <c r="C36" s="1792"/>
    </row>
    <row r="37" spans="2:12">
      <c r="B37" s="13" t="s">
        <v>1881</v>
      </c>
      <c r="C37" s="2">
        <f>SUM(C5,C11)</f>
        <v>51</v>
      </c>
    </row>
    <row r="38" spans="2:12">
      <c r="B38" s="13" t="s">
        <v>1882</v>
      </c>
      <c r="C38" s="2">
        <f>SUM(C6,C12)</f>
        <v>284</v>
      </c>
    </row>
    <row r="39" spans="2:12">
      <c r="B39" s="13" t="s">
        <v>1883</v>
      </c>
      <c r="C39" s="13">
        <f>SUM(C37:C38)</f>
        <v>335</v>
      </c>
    </row>
    <row r="42" spans="2:12">
      <c r="B42" s="14" t="s">
        <v>1898</v>
      </c>
      <c r="C42" s="14" t="s">
        <v>1899</v>
      </c>
    </row>
    <row r="43" spans="2:12">
      <c r="B43" t="s">
        <v>1900</v>
      </c>
      <c r="C43">
        <f>SUM(GYE!AA168+UIO!Z160)</f>
        <v>5690</v>
      </c>
      <c r="D43" t="s">
        <v>1901</v>
      </c>
    </row>
    <row r="45" spans="2:12" ht="14.45" customHeight="1">
      <c r="B45" s="1801" t="s">
        <v>1902</v>
      </c>
      <c r="C45" s="1802"/>
      <c r="E45" s="1797" t="s">
        <v>1903</v>
      </c>
      <c r="F45" s="1798"/>
      <c r="H45" s="1797" t="s">
        <v>1904</v>
      </c>
      <c r="I45" s="1798"/>
      <c r="K45" s="1797" t="s">
        <v>1905</v>
      </c>
      <c r="L45" s="1798"/>
    </row>
    <row r="46" spans="2:12">
      <c r="B46" s="94" t="s">
        <v>1884</v>
      </c>
      <c r="C46" s="95">
        <f>COUNTIFS(GYE!R7:R163,"*WIND*")</f>
        <v>47</v>
      </c>
      <c r="E46" s="1424" t="s">
        <v>1884</v>
      </c>
      <c r="F46" s="29">
        <f>COUNTIFS('GYE 2025'!S45:S156,"*RED*")</f>
        <v>23</v>
      </c>
      <c r="H46" s="1424" t="s">
        <v>1884</v>
      </c>
      <c r="I46" s="29">
        <f>COUNTIFS('GYE 2025'!S45:S156,"*RED*")+COUNTIFS('GYE 2025'!S45:S156,"*OTR*")+COUNTIFS('GYE 2025'!S45:S156,"*UBU*")+COUNTIFS('GYE 2025'!S45:S156,"*DEBI*")+COUNTIFS('GYE 2025'!S45:S156,"*CEN*")</f>
        <v>71</v>
      </c>
      <c r="K46" s="1424" t="s">
        <v>1884</v>
      </c>
      <c r="L46" s="29">
        <f>'GYE 2025'!I45</f>
        <v>112</v>
      </c>
    </row>
    <row r="47" spans="2:12">
      <c r="B47" s="94" t="s">
        <v>1880</v>
      </c>
      <c r="C47" s="95">
        <f>COUNTIFS(UIO!R8:R154,"*WIND*")</f>
        <v>58</v>
      </c>
      <c r="E47" s="1424" t="s">
        <v>1880</v>
      </c>
      <c r="F47" s="111">
        <f>COUNTIFS('UIO 2025'!S8:S97,"*RED*")</f>
        <v>31</v>
      </c>
      <c r="H47" s="1426" t="s">
        <v>1880</v>
      </c>
      <c r="I47" s="111">
        <f>COUNTIFS('UIO 2025'!S8:S97,"*RED*")+COUNTIFS('UIO 2025'!S8:S97,"*OTR*")+COUNTIFS('UIO 2025'!S8:S97,"*UBU*")+COUNTIFS('UIO 2025'!S8:S97,"*DEBI*")+COUNTIFS('UIO 2025'!S8:S97,"*CENT*")</f>
        <v>42</v>
      </c>
      <c r="K47" s="1424" t="s">
        <v>1880</v>
      </c>
      <c r="L47" s="111">
        <f>'UIO 2025'!I8</f>
        <v>89</v>
      </c>
    </row>
    <row r="48" spans="2:12">
      <c r="B48" s="94" t="s">
        <v>1906</v>
      </c>
      <c r="C48" s="95">
        <f>SUM(C46:C47)</f>
        <v>105</v>
      </c>
      <c r="E48" s="1425" t="s">
        <v>1907</v>
      </c>
      <c r="F48" s="29">
        <f>SUM(F46:F47)</f>
        <v>54</v>
      </c>
      <c r="H48" s="1424" t="s">
        <v>1879</v>
      </c>
      <c r="I48" s="29">
        <f>SUM(I46:I47)</f>
        <v>113</v>
      </c>
      <c r="K48" s="1425" t="s">
        <v>1879</v>
      </c>
      <c r="L48" s="29">
        <f>SUM(L46:L47)</f>
        <v>201</v>
      </c>
    </row>
    <row r="51" spans="2:3" ht="14.45" customHeight="1">
      <c r="B51" s="1800" t="s">
        <v>1908</v>
      </c>
      <c r="C51" s="1800"/>
    </row>
    <row r="52" spans="2:3">
      <c r="B52" s="29" t="s">
        <v>1884</v>
      </c>
      <c r="C52" s="29">
        <f>GYE!I56</f>
        <v>96</v>
      </c>
    </row>
    <row r="53" spans="2:3">
      <c r="B53" s="111" t="s">
        <v>1880</v>
      </c>
      <c r="C53" s="111">
        <f>UIO!I8</f>
        <v>99</v>
      </c>
    </row>
    <row r="54" spans="2:3">
      <c r="B54" s="156" t="s">
        <v>1909</v>
      </c>
      <c r="C54" s="156">
        <f>C52+C53</f>
        <v>195</v>
      </c>
    </row>
  </sheetData>
  <mergeCells count="13">
    <mergeCell ref="E45:F45"/>
    <mergeCell ref="K45:L45"/>
    <mergeCell ref="H45:I45"/>
    <mergeCell ref="E10:F10"/>
    <mergeCell ref="B51:C51"/>
    <mergeCell ref="B45:C45"/>
    <mergeCell ref="B4:C4"/>
    <mergeCell ref="B21:C21"/>
    <mergeCell ref="B26:C26"/>
    <mergeCell ref="B36:C36"/>
    <mergeCell ref="B31:C31"/>
    <mergeCell ref="B10:C10"/>
    <mergeCell ref="B16:C16"/>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7193B24D3A24593F6B849A1FD5FA2" ma:contentTypeVersion="20" ma:contentTypeDescription="Create a new document." ma:contentTypeScope="" ma:versionID="f5463255dea7a22c1404e75e74e1815c">
  <xsd:schema xmlns:xsd="http://www.w3.org/2001/XMLSchema" xmlns:xs="http://www.w3.org/2001/XMLSchema" xmlns:p="http://schemas.microsoft.com/office/2006/metadata/properties" xmlns:ns2="6d1893c5-88a5-4a3b-af32-527150778d9a" xmlns:ns3="17265c75-69d7-4fd7-8329-9972f73dabca" xmlns:ns4="8712a096-82eb-49a6-a5db-c4df212012b7" targetNamespace="http://schemas.microsoft.com/office/2006/metadata/properties" ma:root="true" ma:fieldsID="5b697a55b8ea78fdc7d92b38b9e983bf" ns2:_="" ns3:_="" ns4:_="">
    <xsd:import namespace="6d1893c5-88a5-4a3b-af32-527150778d9a"/>
    <xsd:import namespace="17265c75-69d7-4fd7-8329-9972f73dabca"/>
    <xsd:import namespace="8712a096-82eb-49a6-a5db-c4df212012b7"/>
    <xsd:element name="properties">
      <xsd:complexType>
        <xsd:sequence>
          <xsd:element name="documentManagement">
            <xsd:complexType>
              <xsd:all>
                <xsd:element ref="ns2:_dlc_DocId" minOccurs="0"/>
                <xsd:element ref="ns2:_dlc_DocIdUrl" minOccurs="0"/>
                <xsd:element ref="ns2:_dlc_DocIdPersistId"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4:SharedWithUsers" minOccurs="0"/>
                <xsd:element ref="ns4: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893c5-88a5-4a3b-af32-527150778d9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false">
      <xsd:simpleType>
        <xsd:restriction base="dms:Text"/>
      </xsd:simpleType>
    </xsd:element>
    <xsd:element name="_dlc_DocIdUrl" ma:index="9" nillable="true" ma:displayName="Document ID" ma:description="Permanent link to this document." ma:format="Hyperlink"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1a2fcad2-b647-4a19-aeaf-204de8e2d7c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265c75-69d7-4fd7-8329-9972f73dabc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53cf04c-f42b-4009-b01e-d5ec823b84a0}" ma:internalName="TaxCatchAll" ma:showField="CatchAllData" ma:web="17265c75-69d7-4fd7-8329-9972f73dabc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12a096-82eb-49a6-a5db-c4df212012b7" elementFormDefault="qualified">
    <xsd:import namespace="http://schemas.microsoft.com/office/2006/documentManagement/types"/>
    <xsd:import namespace="http://schemas.microsoft.com/office/infopath/2007/PartnerControls"/>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1893c5-88a5-4a3b-af32-527150778d9a">
      <Terms xmlns="http://schemas.microsoft.com/office/infopath/2007/PartnerControls"/>
    </lcf76f155ced4ddcb4097134ff3c332f>
    <_dlc_DocIdPersistId xmlns="6d1893c5-88a5-4a3b-af32-527150778d9a" xsi:nil="true"/>
    <TaxCatchAll xmlns="17265c75-69d7-4fd7-8329-9972f73dabca" xsi:nil="true"/>
    <_dlc_DocId xmlns="6d1893c5-88a5-4a3b-af32-527150778d9a" xsi:nil="true"/>
    <_dlc_DocIdUrl xmlns="6d1893c5-88a5-4a3b-af32-527150778d9a">
      <Url xsi:nil="true"/>
      <Description xsi:nil="true"/>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A1BCE7-A538-42C0-80B6-46F2E10D8B7B}"/>
</file>

<file path=customXml/itemProps2.xml><?xml version="1.0" encoding="utf-8"?>
<ds:datastoreItem xmlns:ds="http://schemas.openxmlformats.org/officeDocument/2006/customXml" ds:itemID="{5E9B3736-51BD-4738-8C69-A6EF093653D4}"/>
</file>

<file path=customXml/itemProps3.xml><?xml version="1.0" encoding="utf-8"?>
<ds:datastoreItem xmlns:ds="http://schemas.openxmlformats.org/officeDocument/2006/customXml" ds:itemID="{AB8AF096-2C50-4CE4-889D-DB3BCE880A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Leon TI</dc:creator>
  <cp:keywords/>
  <dc:description/>
  <cp:lastModifiedBy>Mireya Iturralde TI</cp:lastModifiedBy>
  <cp:revision/>
  <dcterms:created xsi:type="dcterms:W3CDTF">2023-03-08T12:58:27Z</dcterms:created>
  <dcterms:modified xsi:type="dcterms:W3CDTF">2025-12-03T21:50:38Z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0x010100C487193B24D3A24593F6B849A1FD5FA2</vt:lpwstr>
  </property>
  <property fmtid="{D5CDD505-2E9C-101B-9397-08002B2CF9AE}" pid="3" name="MediaServiceImageTags">
    <vt:lpwstr/>
  </property>
</Properties>
</file>